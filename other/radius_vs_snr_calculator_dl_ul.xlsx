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arameters &amp; Formulas" sheetId="2" state="visible" r:id="rId2"/>
    <sheet xmlns:r="http://schemas.openxmlformats.org/officeDocument/2006/relationships" name="DL SNR vs Radius" sheetId="3" state="visible" r:id="rId3"/>
    <sheet xmlns:r="http://schemas.openxmlformats.org/officeDocument/2006/relationships" name="UL SNR vs Radius" sheetId="4" state="visible" r:id="rId4"/>
    <sheet xmlns:r="http://schemas.openxmlformats.org/officeDocument/2006/relationships" name="DL MCS Markers" sheetId="5" state="visible" r:id="rId5"/>
    <sheet xmlns:r="http://schemas.openxmlformats.org/officeDocument/2006/relationships" name="UL MCS Markers" sheetId="6" state="visible" r:id="rId6"/>
    <sheet xmlns:r="http://schemas.openxmlformats.org/officeDocument/2006/relationships" name="DL Chart" sheetId="7" state="visible" r:id="rId7"/>
    <sheet xmlns:r="http://schemas.openxmlformats.org/officeDocument/2006/relationships" name="UL Char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9"/>
    </font>
    <font>
      <b val="1"/>
      <color rgb="00FFFFFF"/>
      <sz val="14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5" fillId="3" borderId="1" applyAlignment="1" pivotButton="0" quotePrefix="0" xfId="0">
      <alignment horizontal="center"/>
    </xf>
    <xf numFmtId="2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Downlink Coverage Radius vs Required SNR (UMa LOS, TR 38.901)</a:t>
            </a:r>
          </a:p>
        </rich>
      </tx>
    </title>
    <plotArea>
      <scatterChart>
        <ser>
          <idx val="0"/>
          <order val="0"/>
          <tx>
            <v>DL Required SNR</v>
          </tx>
          <spPr>
            <a:ln xmlns:a="http://schemas.openxmlformats.org/drawingml/2006/main" w="20000">
              <a:solidFill>
                <a:srgbClr val="4472C4"/>
              </a:solidFill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'DL SNR vs Radius'!$D$2:$D$201</f>
            </numRef>
          </xVal>
          <yVal>
            <numRef>
              <f>'DL SNR vs Radius'!$A$2:$A$201</f>
            </numRef>
          </yVal>
        </ser>
        <ser>
          <idx val="1"/>
          <order val="1"/>
          <tx>
            <v>256-QAM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marker>
          <xVal>
            <numRef>
              <f>'DL MCS Markers'!$E$2</f>
            </numRef>
          </xVal>
          <yVal>
            <numRef>
              <f>'DL MCS Markers'!$B$2</f>
            </numRef>
          </yVal>
        </ser>
        <ser>
          <idx val="2"/>
          <order val="2"/>
          <tx>
            <v>64-QAM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8800"/>
              </a:solidFill>
              <a:ln xmlns:a="http://schemas.openxmlformats.org/drawingml/2006/main">
                <a:prstDash val="solid"/>
              </a:ln>
            </spPr>
          </marker>
          <xVal>
            <numRef>
              <f>'DL MCS Markers'!$E$3</f>
            </numRef>
          </xVal>
          <yVal>
            <numRef>
              <f>'DL MCS Markers'!$B$3</f>
            </numRef>
          </yVal>
        </ser>
        <ser>
          <idx val="3"/>
          <order val="3"/>
          <tx>
            <v>16-QAM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AA00"/>
              </a:solidFill>
              <a:ln xmlns:a="http://schemas.openxmlformats.org/drawingml/2006/main">
                <a:prstDash val="solid"/>
              </a:ln>
            </spPr>
          </marker>
          <xVal>
            <numRef>
              <f>'DL MCS Markers'!$E$4</f>
            </numRef>
          </xVal>
          <yVal>
            <numRef>
              <f>'DL MCS Markers'!$B$4</f>
            </numRef>
          </yVal>
        </ser>
        <ser>
          <idx val="4"/>
          <order val="4"/>
          <tx>
            <v>QPSK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prstDash val="solid"/>
              </a:ln>
            </spPr>
          </marker>
          <xVal>
            <numRef>
              <f>'DL MCS Markers'!$E$5</f>
            </numRef>
          </xVal>
          <yVal>
            <numRef>
              <f>'DL MCS Markers'!$B$5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Coverage Radius R (km)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Required SNR (dB)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Uplink Coverage Radius vs Required SNR (UMa LOS, TR 38.901)</a:t>
            </a:r>
          </a:p>
        </rich>
      </tx>
    </title>
    <plotArea>
      <scatterChart>
        <ser>
          <idx val="0"/>
          <order val="0"/>
          <tx>
            <v>UL Required SNR</v>
          </tx>
          <spPr>
            <a:ln xmlns:a="http://schemas.openxmlformats.org/drawingml/2006/main" w="20000">
              <a:solidFill>
                <a:srgbClr val="FF6B35"/>
              </a:solidFill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'UL SNR vs Radius'!$D$2:$D$201</f>
            </numRef>
          </xVal>
          <yVal>
            <numRef>
              <f>'UL SNR vs Radius'!$A$2:$A$201</f>
            </numRef>
          </yVal>
        </ser>
        <ser>
          <idx val="1"/>
          <order val="1"/>
          <tx>
            <v>256-QAM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marker>
          <xVal>
            <numRef>
              <f>'UL MCS Markers'!$E$2</f>
            </numRef>
          </xVal>
          <yVal>
            <numRef>
              <f>'UL MCS Markers'!$B$2</f>
            </numRef>
          </yVal>
        </ser>
        <ser>
          <idx val="2"/>
          <order val="2"/>
          <tx>
            <v>64-QAM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FF8800"/>
              </a:solidFill>
              <a:ln xmlns:a="http://schemas.openxmlformats.org/drawingml/2006/main">
                <a:prstDash val="solid"/>
              </a:ln>
            </spPr>
          </marker>
          <xVal>
            <numRef>
              <f>'UL MCS Markers'!$E$3</f>
            </numRef>
          </xVal>
          <yVal>
            <numRef>
              <f>'UL MCS Markers'!$B$3</f>
            </numRef>
          </yVal>
        </ser>
        <ser>
          <idx val="3"/>
          <order val="3"/>
          <tx>
            <v>16-QAM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AA00"/>
              </a:solidFill>
              <a:ln xmlns:a="http://schemas.openxmlformats.org/drawingml/2006/main">
                <a:prstDash val="solid"/>
              </a:ln>
            </spPr>
          </marker>
          <xVal>
            <numRef>
              <f>'UL MCS Markers'!$E$4</f>
            </numRef>
          </xVal>
          <yVal>
            <numRef>
              <f>'UL MCS Markers'!$B$4</f>
            </numRef>
          </yVal>
        </ser>
        <ser>
          <idx val="4"/>
          <order val="4"/>
          <tx>
            <v>QPSK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10"/>
            <spPr>
              <a:solidFill xmlns:a="http://schemas.openxmlformats.org/drawingml/2006/main">
                <a:srgbClr val="0000FF"/>
              </a:solidFill>
              <a:ln xmlns:a="http://schemas.openxmlformats.org/drawingml/2006/main">
                <a:prstDash val="solid"/>
              </a:ln>
            </spPr>
          </marker>
          <xVal>
            <numRef>
              <f>'UL MCS Markers'!$E$5</f>
            </numRef>
          </xVal>
          <yVal>
            <numRef>
              <f>'UL MCS Markers'!$B$5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Coverage Radius R (km)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axMin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Required SNR (dB)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0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5G NR COVERAGE RADIUS vs SNR CALCULATOR (DL &amp; UL)</t>
        </is>
      </c>
    </row>
    <row r="2">
      <c r="A2" s="2" t="inlineStr"/>
    </row>
    <row r="3">
      <c r="A3" s="3" t="inlineStr">
        <is>
          <t>OVERVIEW:</t>
        </is>
      </c>
    </row>
    <row r="4">
      <c r="A4" s="2" t="inlineStr">
        <is>
          <t>This Excel workbook calculates the coverage radius (km) as a function of required SNR (dB) for both Downlink (BS→UE) and Uplink (UE→BS) directions using the TR 38.901 UMa LOS path-loss model with breakpoint.</t>
        </is>
      </c>
    </row>
    <row r="5">
      <c r="A5" s="2" t="inlineStr"/>
    </row>
    <row r="6">
      <c r="A6" s="3" t="inlineStr">
        <is>
          <t>HOW TO USE:</t>
        </is>
      </c>
    </row>
    <row r="7">
      <c r="A7" s="2" t="inlineStr">
        <is>
          <t>1. Go to the 'Parameters &amp; Formulas' sheet.</t>
        </is>
      </c>
    </row>
    <row r="8">
      <c r="A8" s="2" t="inlineStr">
        <is>
          <t>2. Edit the BLUE cells (editable parameters) in column B to match your scenario:</t>
        </is>
      </c>
    </row>
    <row r="9">
      <c r="A9" s="2" t="inlineStr">
        <is>
          <t xml:space="preserve">   - DOWNLINK: BS transmit power, BS antenna gain, BS cable losses, UE antenna gain, UE noise figure, penetration loss</t>
        </is>
      </c>
    </row>
    <row r="10">
      <c r="A10" s="2" t="inlineStr">
        <is>
          <t xml:space="preserve">   - UPLINK: UE transmit power, UE antenna gain, BS antenna gain, BS noise figure, BS cable losses</t>
        </is>
      </c>
    </row>
    <row r="11">
      <c r="A11" s="2" t="inlineStr">
        <is>
          <t xml:space="preserve">   - Common: Number of subcarriers, margins (fading, interference)</t>
        </is>
      </c>
    </row>
    <row r="12">
      <c r="A12" s="2" t="inlineStr">
        <is>
          <t xml:space="preserve">   - Path-loss model parameters (frequency, BS/UE heights)</t>
        </is>
      </c>
    </row>
    <row r="13">
      <c r="A13" s="2" t="inlineStr">
        <is>
          <t xml:space="preserve">   - MCS SNR thresholds (approximate, adjust as needed)</t>
        </is>
      </c>
    </row>
    <row r="14">
      <c r="A14" s="2" t="inlineStr">
        <is>
          <t>3. GREEN cells show calculated/derived values (formulas; do not edit directly).</t>
        </is>
      </c>
    </row>
    <row r="15">
      <c r="A15" s="2" t="inlineStr">
        <is>
          <t>4. The 'DL SNR vs Radius' and 'UL SNR vs Radius' sheets contain full SNR sweeps from 32 dB down to -2.1 dB with computed radius for each SNR.</t>
        </is>
      </c>
    </row>
    <row r="16">
      <c r="A16" s="2" t="inlineStr">
        <is>
          <t>5. The 'DL MCS Markers' and 'UL MCS Markers' sheets show radius for the four common MCS SNR thresholds (256-QAM, 64-QAM, 16-QAM, QPSK).</t>
        </is>
      </c>
    </row>
    <row r="17">
      <c r="A17" s="2" t="inlineStr">
        <is>
          <t>6. The 'DL Chart' and 'UL Chart' sheets display the radius vs SNR plots with MCS markers automatically.</t>
        </is>
      </c>
    </row>
    <row r="18">
      <c r="A18" s="2" t="inlineStr">
        <is>
          <t>7. All values and charts update automatically when you change parameters!</t>
        </is>
      </c>
    </row>
    <row r="19">
      <c r="A19" s="2" t="inlineStr"/>
    </row>
    <row r="20">
      <c r="A20" s="3" t="inlineStr">
        <is>
          <t>LINK DIRECTIONS:</t>
        </is>
      </c>
    </row>
    <row r="21">
      <c r="A21" s="2" t="inlineStr">
        <is>
          <t>- DOWNLINK (DL): Base Station → User Equipment (BS transmits, UE receives)</t>
        </is>
      </c>
    </row>
    <row r="22">
      <c r="A22" s="2" t="inlineStr">
        <is>
          <t xml:space="preserve">  Higher transmit power (46 dBm typical), includes penetration loss at UE side</t>
        </is>
      </c>
    </row>
    <row r="23">
      <c r="A23" s="2" t="inlineStr">
        <is>
          <t>- UPLINK (UL): User Equipment → Base Station (UE transmits, BS receives)</t>
        </is>
      </c>
    </row>
    <row r="24">
      <c r="A24" s="2" t="inlineStr">
        <is>
          <t xml:space="preserve">  Lower transmit power (23 dBm typical), better BS receiver (lower NF), no penetration loss</t>
        </is>
      </c>
    </row>
    <row r="25">
      <c r="A25" s="2" t="inlineStr"/>
    </row>
    <row r="26">
      <c r="A26" s="3" t="inlineStr">
        <is>
          <t>PATH-LOSS MODEL (TR 38.901 UMa LOS):</t>
        </is>
      </c>
    </row>
    <row r="27">
      <c r="A27" s="2" t="inlineStr">
        <is>
          <t xml:space="preserve">  C = 32.4 + 20·log10(f_c)   [f_c in GHz, distances in metres]</t>
        </is>
      </c>
    </row>
    <row r="28">
      <c r="A28" s="2" t="inlineStr">
        <is>
          <t xml:space="preserve">  d_bp = 4·h_BS·h_UT / λ</t>
        </is>
      </c>
    </row>
    <row r="29">
      <c r="A29" s="2" t="inlineStr">
        <is>
          <t xml:space="preserve">  PL(d_bp) = C + 20·log10(d_bp)</t>
        </is>
      </c>
    </row>
    <row r="30">
      <c r="A30" s="2" t="inlineStr">
        <is>
          <t xml:space="preserve">  IF d ≤ d_bp:    PL(d) = C + 20·log10(d)     [pre-breakpoint, free-space slope]</t>
        </is>
      </c>
    </row>
    <row r="31">
      <c r="A31" s="2" t="inlineStr">
        <is>
          <t xml:space="preserve">  IF d &gt; d_bp:   PL(d) = C + 40·log10(d) - 20·log10(d_bp)   [post-breakpoint, two-ray slope]</t>
        </is>
      </c>
    </row>
    <row r="32">
      <c r="A32" s="2" t="inlineStr"/>
    </row>
    <row r="33">
      <c r="A33" s="3" t="inlineStr">
        <is>
          <t>LINK BUDGET:</t>
        </is>
      </c>
    </row>
    <row r="34">
      <c r="A34" s="2" t="inlineStr">
        <is>
          <t xml:space="preserve">  L_max = T_eff - (SNR_req + Noise + M_fading + M_interference)</t>
        </is>
      </c>
    </row>
    <row r="35">
      <c r="A35" s="2" t="inlineStr">
        <is>
          <t xml:space="preserve">  where T_eff = Per-subcarrier effective power after gains and losses</t>
        </is>
      </c>
    </row>
    <row r="36">
      <c r="A36" s="2" t="inlineStr"/>
    </row>
    <row r="37">
      <c r="A37" s="3" t="inlineStr">
        <is>
          <t>SOLVING FOR RADIUS R GIVEN L_max:</t>
        </is>
      </c>
    </row>
    <row r="38">
      <c r="A38" s="2" t="inlineStr">
        <is>
          <t xml:space="preserve">  IF L_max ≤ PL(d_bp):   R = 10^((L_max - C)/20)</t>
        </is>
      </c>
    </row>
    <row r="39">
      <c r="A39" s="2" t="inlineStr">
        <is>
          <t xml:space="preserve">  IF L_max &gt; PL(d_bp):   R = 10^((L_max - C + 20·log10(d_bp))/40)</t>
        </is>
      </c>
    </row>
    <row r="40">
      <c r="A40" s="2" t="inlineStr"/>
    </row>
    <row r="41">
      <c r="A41" s="3" t="inlineStr">
        <is>
          <t>NOTES:</t>
        </is>
      </c>
    </row>
    <row r="42">
      <c r="A42" s="2" t="inlineStr">
        <is>
          <t>- All logarithms are base 10.</t>
        </is>
      </c>
    </row>
    <row r="43">
      <c r="A43" s="2" t="inlineStr">
        <is>
          <t>- MCS SNR thresholds are approximate and should be validated with link-level simulation for your PHY configuration and target BLER.</t>
        </is>
      </c>
    </row>
    <row r="44">
      <c r="A44" s="2" t="inlineStr">
        <is>
          <t>- This model assumes median path loss (no shadowing). For cell-edge coverage with desired reliability, subtract a shadowing margin (e.g., 5-10 dB for 90-95% coverage).</t>
        </is>
      </c>
    </row>
    <row r="45">
      <c r="A45" s="2" t="inlineStr">
        <is>
          <t>- The breakpoint d_bp is typically ~2 km for f=3.5 GHz, h_BS=30 m, h_UT=1.5 m.</t>
        </is>
      </c>
    </row>
    <row r="46">
      <c r="A46" s="2" t="inlineStr">
        <is>
          <t>- For frequencies, heights, or scenarios different from UMa LOS, consult TR 38.901 for alternative models (UMi, RMa, NLOS, etc.).</t>
        </is>
      </c>
    </row>
    <row r="47">
      <c r="A47" s="2" t="inlineStr"/>
    </row>
    <row r="48">
      <c r="A48" s="3" t="inlineStr">
        <is>
          <t>REFERENCES:</t>
        </is>
      </c>
    </row>
    <row r="49">
      <c r="A49" s="2" t="inlineStr">
        <is>
          <t>- 3GPP TR 38.901 (Study on channel model for frequencies from 0.5 to 100 GHz)</t>
        </is>
      </c>
    </row>
    <row r="50">
      <c r="A50" s="2" t="inlineStr">
        <is>
          <t>- 3GPP TS 38.212 / TS 38.214 (NR physical layer and link adaptation)</t>
        </is>
      </c>
    </row>
    <row r="51">
      <c r="A51" s="2" t="inlineStr"/>
    </row>
    <row r="52">
      <c r="A52" s="4" t="inlineStr">
        <is>
          <t>Generated by: generate_radius_snr_excel_with_chart.py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5" customWidth="1" min="3" max="3"/>
    <col width="50" customWidth="1" min="4" max="4"/>
  </cols>
  <sheetData>
    <row r="1">
      <c r="A1" s="5" t="inlineStr">
        <is>
          <t>5G NR Coverage Radius vs Required SNR Calculator (DL &amp; UL)</t>
        </is>
      </c>
    </row>
    <row r="3">
      <c r="A3" s="6" t="inlineStr">
        <is>
          <t>DOWNLINK (BS → UE) - TRANSMITTER PARAMETERS</t>
        </is>
      </c>
    </row>
    <row r="4">
      <c r="A4" t="inlineStr">
        <is>
          <t>BS transmit power (dBm)</t>
        </is>
      </c>
      <c r="B4" s="7" t="n">
        <v>46</v>
      </c>
      <c r="C4" t="inlineStr">
        <is>
          <t>tx_power_dl</t>
        </is>
      </c>
      <c r="D4" t="inlineStr">
        <is>
          <t>P_BS</t>
        </is>
      </c>
    </row>
    <row r="5">
      <c r="A5" t="inlineStr">
        <is>
          <t>BS antenna gain (dBi)</t>
        </is>
      </c>
      <c r="B5" s="7" t="n">
        <v>18</v>
      </c>
      <c r="C5" t="inlineStr">
        <is>
          <t>tx_gain_dl</t>
        </is>
      </c>
      <c r="D5" t="inlineStr">
        <is>
          <t>G_BS</t>
        </is>
      </c>
    </row>
    <row r="6">
      <c r="A6" t="inlineStr">
        <is>
          <t>BS cable/connector losses (dB)</t>
        </is>
      </c>
      <c r="B6" s="7" t="n">
        <v>2.5</v>
      </c>
      <c r="C6" t="inlineStr">
        <is>
          <t>cable_loss_dl</t>
        </is>
      </c>
      <c r="D6" t="inlineStr">
        <is>
          <t>L_cable_BS</t>
        </is>
      </c>
    </row>
    <row r="7">
      <c r="A7" t="inlineStr">
        <is>
          <t>Number of subcarriers</t>
        </is>
      </c>
      <c r="B7" s="7" t="n">
        <v>600</v>
      </c>
      <c r="C7" t="inlineStr">
        <is>
          <t>n_subcarriers</t>
        </is>
      </c>
      <c r="D7" t="inlineStr">
        <is>
          <t>D_sub (10 MHz BW)</t>
        </is>
      </c>
    </row>
    <row r="9">
      <c r="A9" s="6" t="inlineStr">
        <is>
          <t>DOWNLINK (BS → UE) - RECEIVER PARAMETERS</t>
        </is>
      </c>
    </row>
    <row r="10">
      <c r="A10" t="inlineStr">
        <is>
          <t>UE antenna gain (dBi)</t>
        </is>
      </c>
      <c r="B10" s="7" t="n">
        <v>0</v>
      </c>
      <c r="C10" t="inlineStr">
        <is>
          <t>rx_gain_dl</t>
        </is>
      </c>
      <c r="D10" t="inlineStr">
        <is>
          <t>G_UE</t>
        </is>
      </c>
    </row>
    <row r="11">
      <c r="A11" t="inlineStr">
        <is>
          <t>UE noise figure (dB)</t>
        </is>
      </c>
      <c r="B11" s="7" t="n">
        <v>7</v>
      </c>
      <c r="C11" t="inlineStr">
        <is>
          <t>noise_figure_dl</t>
        </is>
      </c>
      <c r="D11" t="inlineStr">
        <is>
          <t>NF_UE</t>
        </is>
      </c>
    </row>
    <row r="12">
      <c r="A12" t="inlineStr">
        <is>
          <t>Penetration loss (dB)</t>
        </is>
      </c>
      <c r="B12" s="7" t="n">
        <v>18</v>
      </c>
      <c r="C12" t="inlineStr">
        <is>
          <t>penetration_loss</t>
        </is>
      </c>
      <c r="D12" t="inlineStr">
        <is>
          <t>L_penetration</t>
        </is>
      </c>
    </row>
    <row r="13">
      <c r="A13" t="inlineStr">
        <is>
          <t>Thermal noise density (dBm/Hz)</t>
        </is>
      </c>
      <c r="B13" s="7" t="n">
        <v>-173.8</v>
      </c>
      <c r="C13" t="inlineStr">
        <is>
          <t>noise_density</t>
        </is>
      </c>
      <c r="D13" t="inlineStr">
        <is>
          <t>kT_0</t>
        </is>
      </c>
    </row>
    <row r="14">
      <c r="A14" t="inlineStr">
        <is>
          <t>Subcarrier bandwidth (Hz)</t>
        </is>
      </c>
      <c r="B14" s="7" t="n">
        <v>15000</v>
      </c>
      <c r="C14" t="inlineStr">
        <is>
          <t>subcarrier_bw</t>
        </is>
      </c>
      <c r="D14" t="inlineStr">
        <is>
          <t>15 kHz SCS</t>
        </is>
      </c>
    </row>
    <row r="16">
      <c r="A16" s="6" t="inlineStr">
        <is>
          <t>MARGINS</t>
        </is>
      </c>
    </row>
    <row r="17">
      <c r="A17" t="inlineStr">
        <is>
          <t>Fading margin (dB)</t>
        </is>
      </c>
      <c r="B17" s="7" t="n">
        <v>5</v>
      </c>
      <c r="C17" t="inlineStr">
        <is>
          <t>fading_margin</t>
        </is>
      </c>
      <c r="D17" t="inlineStr">
        <is>
          <t>M_f</t>
        </is>
      </c>
    </row>
    <row r="18">
      <c r="A18" t="inlineStr">
        <is>
          <t>Interference degradation margin (dB)</t>
        </is>
      </c>
      <c r="B18" s="7" t="n">
        <v>2</v>
      </c>
      <c r="C18" t="inlineStr">
        <is>
          <t>interference_margin</t>
        </is>
      </c>
      <c r="D18" t="inlineStr">
        <is>
          <t>M_I</t>
        </is>
      </c>
    </row>
    <row r="20">
      <c r="A20" s="6" t="inlineStr">
        <is>
          <t>PATH LOSS MODEL (TR 38.901 UMa LOS)</t>
        </is>
      </c>
    </row>
    <row r="21">
      <c r="A21" t="inlineStr">
        <is>
          <t>Carrier frequency (GHz)</t>
        </is>
      </c>
      <c r="B21" s="7" t="n">
        <v>3.5</v>
      </c>
      <c r="C21" t="inlineStr">
        <is>
          <t>fc_ghz</t>
        </is>
      </c>
      <c r="D21" t="inlineStr">
        <is>
          <t>f_c</t>
        </is>
      </c>
    </row>
    <row r="22">
      <c r="A22" t="inlineStr">
        <is>
          <t>Base station height (m)</t>
        </is>
      </c>
      <c r="B22" s="7" t="n">
        <v>30</v>
      </c>
      <c r="C22" t="inlineStr">
        <is>
          <t>h_bs</t>
        </is>
      </c>
      <c r="D22" t="inlineStr">
        <is>
          <t>h_BS</t>
        </is>
      </c>
    </row>
    <row r="23">
      <c r="A23" t="inlineStr">
        <is>
          <t>UE height (m)</t>
        </is>
      </c>
      <c r="B23" s="7" t="n">
        <v>1.5</v>
      </c>
      <c r="C23" t="inlineStr">
        <is>
          <t>h_ut</t>
        </is>
      </c>
      <c r="D23" t="inlineStr">
        <is>
          <t>h_UT</t>
        </is>
      </c>
    </row>
    <row r="24">
      <c r="A24" t="inlineStr">
        <is>
          <t>Speed of light (m/s)</t>
        </is>
      </c>
      <c r="B24" s="7" t="n">
        <v>300000000</v>
      </c>
      <c r="C24" t="inlineStr">
        <is>
          <t>c</t>
        </is>
      </c>
      <c r="D24" t="inlineStr">
        <is>
          <t>c</t>
        </is>
      </c>
    </row>
    <row r="26">
      <c r="A26" s="6" t="inlineStr">
        <is>
          <t>DOWNLINK - CALCULATED / DERIVED VALUES</t>
        </is>
      </c>
    </row>
    <row r="27">
      <c r="A27" t="inlineStr">
        <is>
          <t>DL EiRP (dBm)</t>
        </is>
      </c>
      <c r="B27" s="8">
        <f>B4+B5-B6</f>
        <v/>
      </c>
      <c r="C27" t="inlineStr">
        <is>
          <t>eirp_dl</t>
        </is>
      </c>
      <c r="D27">
        <f> P_BS + G_BS - L_cable_BS</f>
        <v/>
      </c>
    </row>
    <row r="28">
      <c r="A28" t="inlineStr">
        <is>
          <t>DL Per-subcarrier power (dBm)</t>
        </is>
      </c>
      <c r="B28" s="8">
        <f>B27-10*LOG10(B7)</f>
        <v/>
      </c>
      <c r="C28" t="inlineStr">
        <is>
          <t>p_sub_dl</t>
        </is>
      </c>
      <c r="D28">
        <f> EiRP - 10·log10(D_sub)</f>
        <v/>
      </c>
    </row>
    <row r="29">
      <c r="A29" t="inlineStr">
        <is>
          <t>Noise power per subcarrier (dBm)</t>
        </is>
      </c>
      <c r="B29" s="8">
        <f>B13+10*LOG10(B14)</f>
        <v/>
      </c>
      <c r="C29" t="inlineStr">
        <is>
          <t>noise_power</t>
        </is>
      </c>
      <c r="D29">
        <f> kT_0 + 10·log10(W)</f>
        <v/>
      </c>
    </row>
    <row r="30">
      <c r="A30" t="inlineStr">
        <is>
          <t>DL Total gains (dB)</t>
        </is>
      </c>
      <c r="B30" s="8">
        <f>B10</f>
        <v/>
      </c>
      <c r="C30" t="inlineStr">
        <is>
          <t>total_gains_dl</t>
        </is>
      </c>
      <c r="D30">
        <f> G_UE</f>
        <v/>
      </c>
    </row>
    <row r="31">
      <c r="A31" t="inlineStr">
        <is>
          <t>DL Total losses (dB)</t>
        </is>
      </c>
      <c r="B31" s="8">
        <f>B11+B12</f>
        <v/>
      </c>
      <c r="C31" t="inlineStr">
        <is>
          <t>total_losses_dl</t>
        </is>
      </c>
      <c r="D31">
        <f> NF_UE + L_penetration</f>
        <v/>
      </c>
    </row>
    <row r="32">
      <c r="A32" t="inlineStr">
        <is>
          <t>DL Effective power per subcarrier (dBm)</t>
        </is>
      </c>
      <c r="B32" s="8">
        <f>B28+B30-B31</f>
        <v/>
      </c>
      <c r="C32" t="inlineStr">
        <is>
          <t>T_eff_dl</t>
        </is>
      </c>
      <c r="D32">
        <f> P_sub + G_total - L_total</f>
        <v/>
      </c>
    </row>
    <row r="33">
      <c r="A33" t="inlineStr">
        <is>
          <t>Wavelength (m)</t>
        </is>
      </c>
      <c r="B33" s="8">
        <f>B24/(B21*1e9)</f>
        <v/>
      </c>
      <c r="C33" t="inlineStr">
        <is>
          <t>lambda</t>
        </is>
      </c>
      <c r="D33">
        <f> c / (f_c × 10⁹)</f>
        <v/>
      </c>
    </row>
    <row r="34">
      <c r="A34" t="inlineStr">
        <is>
          <t>Breakpoint distance d_bp (m)</t>
        </is>
      </c>
      <c r="B34" s="8">
        <f>4*B22*B23/B33</f>
        <v/>
      </c>
      <c r="C34" t="inlineStr">
        <is>
          <t>d_bp</t>
        </is>
      </c>
      <c r="D34">
        <f> 4·h_BS·h_UT / λ</f>
        <v/>
      </c>
    </row>
    <row r="35">
      <c r="A35" t="inlineStr">
        <is>
          <t>PL constant C (dB)</t>
        </is>
      </c>
      <c r="B35" s="8">
        <f>32.4+20*LOG10(B21)</f>
        <v/>
      </c>
      <c r="C35" t="inlineStr">
        <is>
          <t>C_PL</t>
        </is>
      </c>
      <c r="D35">
        <f> 32.4 + 20·log10(f_c)  [f_c in GHz]</f>
        <v/>
      </c>
    </row>
    <row r="36">
      <c r="A36" t="inlineStr">
        <is>
          <t>PL at breakpoint (dB)</t>
        </is>
      </c>
      <c r="B36" s="8">
        <f>B35+20*LOG10(B34)</f>
        <v/>
      </c>
      <c r="C36" t="inlineStr">
        <is>
          <t>PL_bp</t>
        </is>
      </c>
      <c r="D36">
        <f> C + 20·log10(d_bp)</f>
        <v/>
      </c>
    </row>
    <row r="38">
      <c r="A38" s="6" t="inlineStr">
        <is>
          <t>UPLINK (UE → BS) - TRANSMITTER PARAMETERS</t>
        </is>
      </c>
    </row>
    <row r="39">
      <c r="A39" t="inlineStr">
        <is>
          <t>UE transmit power (dBm)</t>
        </is>
      </c>
      <c r="B39" s="7" t="n">
        <v>23</v>
      </c>
      <c r="C39" t="inlineStr">
        <is>
          <t>tx_power_ul</t>
        </is>
      </c>
      <c r="D39" t="inlineStr">
        <is>
          <t>P_UE (Class 3)</t>
        </is>
      </c>
    </row>
    <row r="40">
      <c r="A40" t="inlineStr">
        <is>
          <t>UE antenna gain (dBi)</t>
        </is>
      </c>
      <c r="B40" s="7" t="n">
        <v>0</v>
      </c>
      <c r="C40" t="inlineStr">
        <is>
          <t>tx_gain_ul</t>
        </is>
      </c>
      <c r="D40" t="inlineStr">
        <is>
          <t>G_UE</t>
        </is>
      </c>
    </row>
    <row r="41">
      <c r="A41" t="inlineStr">
        <is>
          <t>UE cable/connector losses (dB)</t>
        </is>
      </c>
      <c r="B41" s="7" t="n">
        <v>0</v>
      </c>
      <c r="C41" t="inlineStr">
        <is>
          <t>cable_loss_ul</t>
        </is>
      </c>
      <c r="D41" t="inlineStr">
        <is>
          <t>L_cable_UE</t>
        </is>
      </c>
    </row>
    <row r="43">
      <c r="A43" s="6" t="inlineStr">
        <is>
          <t>UPLINK (UE → BS) - RECEIVER PARAMETERS</t>
        </is>
      </c>
    </row>
    <row r="44">
      <c r="A44" t="inlineStr">
        <is>
          <t>BS antenna gain (dBi)</t>
        </is>
      </c>
      <c r="B44" s="7" t="n">
        <v>18</v>
      </c>
      <c r="C44" t="inlineStr">
        <is>
          <t>rx_gain_ul</t>
        </is>
      </c>
      <c r="D44" t="inlineStr">
        <is>
          <t>G_BS</t>
        </is>
      </c>
    </row>
    <row r="45">
      <c r="A45" t="inlineStr">
        <is>
          <t>BS noise figure (dB)</t>
        </is>
      </c>
      <c r="B45" s="7" t="n">
        <v>3</v>
      </c>
      <c r="C45" t="inlineStr">
        <is>
          <t>noise_figure_ul</t>
        </is>
      </c>
      <c r="D45" t="inlineStr">
        <is>
          <t>NF_BS</t>
        </is>
      </c>
    </row>
    <row r="46">
      <c r="A46" t="inlineStr">
        <is>
          <t>BS cable/connector losses (dB)</t>
        </is>
      </c>
      <c r="B46" s="7" t="n">
        <v>2.5</v>
      </c>
      <c r="C46" t="inlineStr">
        <is>
          <t>cable_loss_rx_ul</t>
        </is>
      </c>
      <c r="D46" t="inlineStr">
        <is>
          <t>L_cable_BS_RX</t>
        </is>
      </c>
    </row>
    <row r="48">
      <c r="A48" s="6" t="inlineStr">
        <is>
          <t>UPLINK - CALCULATED / DERIVED VALUES</t>
        </is>
      </c>
    </row>
    <row r="49">
      <c r="A49" t="inlineStr">
        <is>
          <t>UL EiRP (dBm)</t>
        </is>
      </c>
      <c r="B49" s="8">
        <f>B39+B40-B41</f>
        <v/>
      </c>
      <c r="C49" t="inlineStr">
        <is>
          <t>eirp_ul</t>
        </is>
      </c>
      <c r="D49">
        <f> P_UE + G_UE - L_cable_UE</f>
        <v/>
      </c>
    </row>
    <row r="50">
      <c r="A50" t="inlineStr">
        <is>
          <t>UL Per-subcarrier power (dBm)</t>
        </is>
      </c>
      <c r="B50" s="8">
        <f>B49-10*LOG10(B7)</f>
        <v/>
      </c>
      <c r="C50" t="inlineStr">
        <is>
          <t>p_sub_ul</t>
        </is>
      </c>
      <c r="D50">
        <f> EiRP - 10·log10(D_sub)</f>
        <v/>
      </c>
    </row>
    <row r="51">
      <c r="A51" t="inlineStr">
        <is>
          <t>UL Total gains (dB)</t>
        </is>
      </c>
      <c r="B51" s="8">
        <f>B44-B46</f>
        <v/>
      </c>
      <c r="C51" t="inlineStr">
        <is>
          <t>total_gains_ul</t>
        </is>
      </c>
      <c r="D51">
        <f> G_BS - L_cable_BS_RX</f>
        <v/>
      </c>
    </row>
    <row r="52">
      <c r="A52" t="inlineStr">
        <is>
          <t>UL Total losses (dB)</t>
        </is>
      </c>
      <c r="B52" s="8">
        <f>B45</f>
        <v/>
      </c>
      <c r="C52" t="inlineStr">
        <is>
          <t>total_losses_ul</t>
        </is>
      </c>
      <c r="D52">
        <f> NF_BS (no penetration loss)</f>
        <v/>
      </c>
    </row>
    <row r="53">
      <c r="A53" t="inlineStr">
        <is>
          <t>UL Effective power per subcarrier (dBm)</t>
        </is>
      </c>
      <c r="B53" s="8">
        <f>B50+B51-B52</f>
        <v/>
      </c>
      <c r="C53" t="inlineStr">
        <is>
          <t>T_eff_ul</t>
        </is>
      </c>
      <c r="D53">
        <f> P_sub + G_total - L_total</f>
        <v/>
      </c>
    </row>
    <row r="55">
      <c r="A55" s="6" t="inlineStr">
        <is>
          <t>MCS SNR THRESHOLDS (dB)</t>
        </is>
      </c>
    </row>
    <row r="56">
      <c r="A56" t="inlineStr">
        <is>
          <t>256-QAM</t>
        </is>
      </c>
      <c r="B56" s="7" t="n">
        <v>32</v>
      </c>
      <c r="C56" t="inlineStr">
        <is>
          <t>snr_256qam</t>
        </is>
      </c>
      <c r="D56" t="inlineStr">
        <is>
          <t>Approximate required SNR (link-level derived)</t>
        </is>
      </c>
    </row>
    <row r="57">
      <c r="A57" t="inlineStr">
        <is>
          <t>64-QAM</t>
        </is>
      </c>
      <c r="B57" s="7" t="n">
        <v>20</v>
      </c>
      <c r="C57" t="inlineStr">
        <is>
          <t>snr_64qam</t>
        </is>
      </c>
      <c r="D57" t="inlineStr">
        <is>
          <t>Approximate required SNR (link-level derived)</t>
        </is>
      </c>
    </row>
    <row r="58">
      <c r="A58" t="inlineStr">
        <is>
          <t>16-QAM</t>
        </is>
      </c>
      <c r="B58" s="7" t="n">
        <v>12</v>
      </c>
      <c r="C58" t="inlineStr">
        <is>
          <t>snr_16qam</t>
        </is>
      </c>
      <c r="D58" t="inlineStr">
        <is>
          <t>Approximate required SNR (link-level derived)</t>
        </is>
      </c>
    </row>
    <row r="59">
      <c r="A59" t="inlineStr">
        <is>
          <t>QPSK</t>
        </is>
      </c>
      <c r="B59" s="7" t="n">
        <v>0</v>
      </c>
      <c r="C59" t="inlineStr">
        <is>
          <t>snr_qpsk</t>
        </is>
      </c>
      <c r="D59" t="inlineStr">
        <is>
          <t>Approximate required SNR (link-level derived)</t>
        </is>
      </c>
    </row>
  </sheetData>
  <mergeCells count="10">
    <mergeCell ref="A1:D1"/>
    <mergeCell ref="A9:D9"/>
    <mergeCell ref="A48:D48"/>
    <mergeCell ref="A20:D20"/>
    <mergeCell ref="A3:D3"/>
    <mergeCell ref="A26:D26"/>
    <mergeCell ref="A38:D38"/>
    <mergeCell ref="A55:D55"/>
    <mergeCell ref="A43:D43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25" customWidth="1" min="5" max="5"/>
  </cols>
  <sheetData>
    <row r="1">
      <c r="A1" s="9" t="inlineStr">
        <is>
          <t>Required SNR (dB)</t>
        </is>
      </c>
      <c r="B1" s="9" t="inlineStr">
        <is>
          <t>DL L_max (dB)</t>
        </is>
      </c>
      <c r="C1" s="9" t="inlineStr">
        <is>
          <t>DL Radius (m)</t>
        </is>
      </c>
      <c r="D1" s="9" t="inlineStr">
        <is>
          <t>DL Radius (km)</t>
        </is>
      </c>
      <c r="E1" s="9" t="inlineStr">
        <is>
          <t>Formula Used</t>
        </is>
      </c>
    </row>
    <row r="2">
      <c r="A2" s="10" t="n">
        <v>32</v>
      </c>
      <c r="B2" s="11">
        <f>'Parameters &amp; Formulas'!$B$32-(A2+'Parameters &amp; Formulas'!$B$29+'Parameters &amp; Formulas'!$B$17+'Parameters &amp; Formulas'!$B$18)</f>
        <v/>
      </c>
      <c r="C2" s="10">
        <f>IF(B2&lt;='Parameters &amp; Formulas'!$B$36,POWER(10,(B2-'Parameters &amp; Formulas'!$B$35)/20),POWER(10,(B2-'Parameters &amp; Formulas'!$B$35+20*LOG10('Parameters &amp; Formulas'!$B$34))/40))</f>
        <v/>
      </c>
      <c r="D2" s="11">
        <f>C2/1000</f>
        <v/>
      </c>
      <c r="E2" s="12">
        <f>IF(B2&lt;='Parameters &amp; Formulas'!$B$36,"Pre-breakpoint (20 log)","Post-breakpoint (40 log)")</f>
        <v/>
      </c>
    </row>
    <row r="3">
      <c r="A3" s="10" t="n">
        <v>31.8286432160804</v>
      </c>
      <c r="B3" s="11">
        <f>'Parameters &amp; Formulas'!$B$32-(A3+'Parameters &amp; Formulas'!$B$29+'Parameters &amp; Formulas'!$B$17+'Parameters &amp; Formulas'!$B$18)</f>
        <v/>
      </c>
      <c r="C3" s="10">
        <f>IF(B3&lt;='Parameters &amp; Formulas'!$B$36,POWER(10,(B3-'Parameters &amp; Formulas'!$B$35)/20),POWER(10,(B3-'Parameters &amp; Formulas'!$B$35+20*LOG10('Parameters &amp; Formulas'!$B$34))/40))</f>
        <v/>
      </c>
      <c r="D3" s="11">
        <f>C3/1000</f>
        <v/>
      </c>
      <c r="E3" s="12">
        <f>IF(B3&lt;='Parameters &amp; Formulas'!$B$36,"Pre-breakpoint (20 log)","Post-breakpoint (40 log)")</f>
        <v/>
      </c>
    </row>
    <row r="4">
      <c r="A4" s="10" t="n">
        <v>31.6572864321608</v>
      </c>
      <c r="B4" s="11">
        <f>'Parameters &amp; Formulas'!$B$32-(A4+'Parameters &amp; Formulas'!$B$29+'Parameters &amp; Formulas'!$B$17+'Parameters &amp; Formulas'!$B$18)</f>
        <v/>
      </c>
      <c r="C4" s="10">
        <f>IF(B4&lt;='Parameters &amp; Formulas'!$B$36,POWER(10,(B4-'Parameters &amp; Formulas'!$B$35)/20),POWER(10,(B4-'Parameters &amp; Formulas'!$B$35+20*LOG10('Parameters &amp; Formulas'!$B$34))/40))</f>
        <v/>
      </c>
      <c r="D4" s="11">
        <f>C4/1000</f>
        <v/>
      </c>
      <c r="E4" s="12">
        <f>IF(B4&lt;='Parameters &amp; Formulas'!$B$36,"Pre-breakpoint (20 log)","Post-breakpoint (40 log)")</f>
        <v/>
      </c>
    </row>
    <row r="5">
      <c r="A5" s="10" t="n">
        <v>31.48592964824121</v>
      </c>
      <c r="B5" s="11">
        <f>'Parameters &amp; Formulas'!$B$32-(A5+'Parameters &amp; Formulas'!$B$29+'Parameters &amp; Formulas'!$B$17+'Parameters &amp; Formulas'!$B$18)</f>
        <v/>
      </c>
      <c r="C5" s="10">
        <f>IF(B5&lt;='Parameters &amp; Formulas'!$B$36,POWER(10,(B5-'Parameters &amp; Formulas'!$B$35)/20),POWER(10,(B5-'Parameters &amp; Formulas'!$B$35+20*LOG10('Parameters &amp; Formulas'!$B$34))/40))</f>
        <v/>
      </c>
      <c r="D5" s="11">
        <f>C5/1000</f>
        <v/>
      </c>
      <c r="E5" s="12">
        <f>IF(B5&lt;='Parameters &amp; Formulas'!$B$36,"Pre-breakpoint (20 log)","Post-breakpoint (40 log)")</f>
        <v/>
      </c>
    </row>
    <row r="6">
      <c r="A6" s="10" t="n">
        <v>31.31457286432161</v>
      </c>
      <c r="B6" s="11">
        <f>'Parameters &amp; Formulas'!$B$32-(A6+'Parameters &amp; Formulas'!$B$29+'Parameters &amp; Formulas'!$B$17+'Parameters &amp; Formulas'!$B$18)</f>
        <v/>
      </c>
      <c r="C6" s="10">
        <f>IF(B6&lt;='Parameters &amp; Formulas'!$B$36,POWER(10,(B6-'Parameters &amp; Formulas'!$B$35)/20),POWER(10,(B6-'Parameters &amp; Formulas'!$B$35+20*LOG10('Parameters &amp; Formulas'!$B$34))/40))</f>
        <v/>
      </c>
      <c r="D6" s="11">
        <f>C6/1000</f>
        <v/>
      </c>
      <c r="E6" s="12">
        <f>IF(B6&lt;='Parameters &amp; Formulas'!$B$36,"Pre-breakpoint (20 log)","Post-breakpoint (40 log)")</f>
        <v/>
      </c>
    </row>
    <row r="7">
      <c r="A7" s="10" t="n">
        <v>31.14321608040201</v>
      </c>
      <c r="B7" s="11">
        <f>'Parameters &amp; Formulas'!$B$32-(A7+'Parameters &amp; Formulas'!$B$29+'Parameters &amp; Formulas'!$B$17+'Parameters &amp; Formulas'!$B$18)</f>
        <v/>
      </c>
      <c r="C7" s="10">
        <f>IF(B7&lt;='Parameters &amp; Formulas'!$B$36,POWER(10,(B7-'Parameters &amp; Formulas'!$B$35)/20),POWER(10,(B7-'Parameters &amp; Formulas'!$B$35+20*LOG10('Parameters &amp; Formulas'!$B$34))/40))</f>
        <v/>
      </c>
      <c r="D7" s="11">
        <f>C7/1000</f>
        <v/>
      </c>
      <c r="E7" s="12">
        <f>IF(B7&lt;='Parameters &amp; Formulas'!$B$36,"Pre-breakpoint (20 log)","Post-breakpoint (40 log)")</f>
        <v/>
      </c>
    </row>
    <row r="8">
      <c r="A8" s="10" t="n">
        <v>30.97185929648241</v>
      </c>
      <c r="B8" s="11">
        <f>'Parameters &amp; Formulas'!$B$32-(A8+'Parameters &amp; Formulas'!$B$29+'Parameters &amp; Formulas'!$B$17+'Parameters &amp; Formulas'!$B$18)</f>
        <v/>
      </c>
      <c r="C8" s="10">
        <f>IF(B8&lt;='Parameters &amp; Formulas'!$B$36,POWER(10,(B8-'Parameters &amp; Formulas'!$B$35)/20),POWER(10,(B8-'Parameters &amp; Formulas'!$B$35+20*LOG10('Parameters &amp; Formulas'!$B$34))/40))</f>
        <v/>
      </c>
      <c r="D8" s="11">
        <f>C8/1000</f>
        <v/>
      </c>
      <c r="E8" s="12">
        <f>IF(B8&lt;='Parameters &amp; Formulas'!$B$36,"Pre-breakpoint (20 log)","Post-breakpoint (40 log)")</f>
        <v/>
      </c>
    </row>
    <row r="9">
      <c r="A9" s="10" t="n">
        <v>30.80050251256282</v>
      </c>
      <c r="B9" s="11">
        <f>'Parameters &amp; Formulas'!$B$32-(A9+'Parameters &amp; Formulas'!$B$29+'Parameters &amp; Formulas'!$B$17+'Parameters &amp; Formulas'!$B$18)</f>
        <v/>
      </c>
      <c r="C9" s="10">
        <f>IF(B9&lt;='Parameters &amp; Formulas'!$B$36,POWER(10,(B9-'Parameters &amp; Formulas'!$B$35)/20),POWER(10,(B9-'Parameters &amp; Formulas'!$B$35+20*LOG10('Parameters &amp; Formulas'!$B$34))/40))</f>
        <v/>
      </c>
      <c r="D9" s="11">
        <f>C9/1000</f>
        <v/>
      </c>
      <c r="E9" s="12">
        <f>IF(B9&lt;='Parameters &amp; Formulas'!$B$36,"Pre-breakpoint (20 log)","Post-breakpoint (40 log)")</f>
        <v/>
      </c>
    </row>
    <row r="10">
      <c r="A10" s="10" t="n">
        <v>30.62914572864322</v>
      </c>
      <c r="B10" s="11">
        <f>'Parameters &amp; Formulas'!$B$32-(A10+'Parameters &amp; Formulas'!$B$29+'Parameters &amp; Formulas'!$B$17+'Parameters &amp; Formulas'!$B$18)</f>
        <v/>
      </c>
      <c r="C10" s="10">
        <f>IF(B10&lt;='Parameters &amp; Formulas'!$B$36,POWER(10,(B10-'Parameters &amp; Formulas'!$B$35)/20),POWER(10,(B10-'Parameters &amp; Formulas'!$B$35+20*LOG10('Parameters &amp; Formulas'!$B$34))/40))</f>
        <v/>
      </c>
      <c r="D10" s="11">
        <f>C10/1000</f>
        <v/>
      </c>
      <c r="E10" s="12">
        <f>IF(B10&lt;='Parameters &amp; Formulas'!$B$36,"Pre-breakpoint (20 log)","Post-breakpoint (40 log)")</f>
        <v/>
      </c>
    </row>
    <row r="11">
      <c r="A11" s="10" t="n">
        <v>30.45778894472362</v>
      </c>
      <c r="B11" s="11">
        <f>'Parameters &amp; Formulas'!$B$32-(A11+'Parameters &amp; Formulas'!$B$29+'Parameters &amp; Formulas'!$B$17+'Parameters &amp; Formulas'!$B$18)</f>
        <v/>
      </c>
      <c r="C11" s="10">
        <f>IF(B11&lt;='Parameters &amp; Formulas'!$B$36,POWER(10,(B11-'Parameters &amp; Formulas'!$B$35)/20),POWER(10,(B11-'Parameters &amp; Formulas'!$B$35+20*LOG10('Parameters &amp; Formulas'!$B$34))/40))</f>
        <v/>
      </c>
      <c r="D11" s="11">
        <f>C11/1000</f>
        <v/>
      </c>
      <c r="E11" s="12">
        <f>IF(B11&lt;='Parameters &amp; Formulas'!$B$36,"Pre-breakpoint (20 log)","Post-breakpoint (40 log)")</f>
        <v/>
      </c>
    </row>
    <row r="12">
      <c r="A12" s="10" t="n">
        <v>30.28643216080402</v>
      </c>
      <c r="B12" s="11">
        <f>'Parameters &amp; Formulas'!$B$32-(A12+'Parameters &amp; Formulas'!$B$29+'Parameters &amp; Formulas'!$B$17+'Parameters &amp; Formulas'!$B$18)</f>
        <v/>
      </c>
      <c r="C12" s="10">
        <f>IF(B12&lt;='Parameters &amp; Formulas'!$B$36,POWER(10,(B12-'Parameters &amp; Formulas'!$B$35)/20),POWER(10,(B12-'Parameters &amp; Formulas'!$B$35+20*LOG10('Parameters &amp; Formulas'!$B$34))/40))</f>
        <v/>
      </c>
      <c r="D12" s="11">
        <f>C12/1000</f>
        <v/>
      </c>
      <c r="E12" s="12">
        <f>IF(B12&lt;='Parameters &amp; Formulas'!$B$36,"Pre-breakpoint (20 log)","Post-breakpoint (40 log)")</f>
        <v/>
      </c>
    </row>
    <row r="13">
      <c r="A13" s="10" t="n">
        <v>30.11507537688442</v>
      </c>
      <c r="B13" s="11">
        <f>'Parameters &amp; Formulas'!$B$32-(A13+'Parameters &amp; Formulas'!$B$29+'Parameters &amp; Formulas'!$B$17+'Parameters &amp; Formulas'!$B$18)</f>
        <v/>
      </c>
      <c r="C13" s="10">
        <f>IF(B13&lt;='Parameters &amp; Formulas'!$B$36,POWER(10,(B13-'Parameters &amp; Formulas'!$B$35)/20),POWER(10,(B13-'Parameters &amp; Formulas'!$B$35+20*LOG10('Parameters &amp; Formulas'!$B$34))/40))</f>
        <v/>
      </c>
      <c r="D13" s="11">
        <f>C13/1000</f>
        <v/>
      </c>
      <c r="E13" s="12">
        <f>IF(B13&lt;='Parameters &amp; Formulas'!$B$36,"Pre-breakpoint (20 log)","Post-breakpoint (40 log)")</f>
        <v/>
      </c>
    </row>
    <row r="14">
      <c r="A14" s="10" t="n">
        <v>29.94371859296482</v>
      </c>
      <c r="B14" s="11">
        <f>'Parameters &amp; Formulas'!$B$32-(A14+'Parameters &amp; Formulas'!$B$29+'Parameters &amp; Formulas'!$B$17+'Parameters &amp; Formulas'!$B$18)</f>
        <v/>
      </c>
      <c r="C14" s="10">
        <f>IF(B14&lt;='Parameters &amp; Formulas'!$B$36,POWER(10,(B14-'Parameters &amp; Formulas'!$B$35)/20),POWER(10,(B14-'Parameters &amp; Formulas'!$B$35+20*LOG10('Parameters &amp; Formulas'!$B$34))/40))</f>
        <v/>
      </c>
      <c r="D14" s="11">
        <f>C14/1000</f>
        <v/>
      </c>
      <c r="E14" s="12">
        <f>IF(B14&lt;='Parameters &amp; Formulas'!$B$36,"Pre-breakpoint (20 log)","Post-breakpoint (40 log)")</f>
        <v/>
      </c>
    </row>
    <row r="15">
      <c r="A15" s="10" t="n">
        <v>29.77236180904523</v>
      </c>
      <c r="B15" s="11">
        <f>'Parameters &amp; Formulas'!$B$32-(A15+'Parameters &amp; Formulas'!$B$29+'Parameters &amp; Formulas'!$B$17+'Parameters &amp; Formulas'!$B$18)</f>
        <v/>
      </c>
      <c r="C15" s="10">
        <f>IF(B15&lt;='Parameters &amp; Formulas'!$B$36,POWER(10,(B15-'Parameters &amp; Formulas'!$B$35)/20),POWER(10,(B15-'Parameters &amp; Formulas'!$B$35+20*LOG10('Parameters &amp; Formulas'!$B$34))/40))</f>
        <v/>
      </c>
      <c r="D15" s="11">
        <f>C15/1000</f>
        <v/>
      </c>
      <c r="E15" s="12">
        <f>IF(B15&lt;='Parameters &amp; Formulas'!$B$36,"Pre-breakpoint (20 log)","Post-breakpoint (40 log)")</f>
        <v/>
      </c>
    </row>
    <row r="16">
      <c r="A16" s="10" t="n">
        <v>29.60100502512563</v>
      </c>
      <c r="B16" s="11">
        <f>'Parameters &amp; Formulas'!$B$32-(A16+'Parameters &amp; Formulas'!$B$29+'Parameters &amp; Formulas'!$B$17+'Parameters &amp; Formulas'!$B$18)</f>
        <v/>
      </c>
      <c r="C16" s="10">
        <f>IF(B16&lt;='Parameters &amp; Formulas'!$B$36,POWER(10,(B16-'Parameters &amp; Formulas'!$B$35)/20),POWER(10,(B16-'Parameters &amp; Formulas'!$B$35+20*LOG10('Parameters &amp; Formulas'!$B$34))/40))</f>
        <v/>
      </c>
      <c r="D16" s="11">
        <f>C16/1000</f>
        <v/>
      </c>
      <c r="E16" s="12">
        <f>IF(B16&lt;='Parameters &amp; Formulas'!$B$36,"Pre-breakpoint (20 log)","Post-breakpoint (40 log)")</f>
        <v/>
      </c>
    </row>
    <row r="17">
      <c r="A17" s="10" t="n">
        <v>29.42964824120603</v>
      </c>
      <c r="B17" s="11">
        <f>'Parameters &amp; Formulas'!$B$32-(A17+'Parameters &amp; Formulas'!$B$29+'Parameters &amp; Formulas'!$B$17+'Parameters &amp; Formulas'!$B$18)</f>
        <v/>
      </c>
      <c r="C17" s="10">
        <f>IF(B17&lt;='Parameters &amp; Formulas'!$B$36,POWER(10,(B17-'Parameters &amp; Formulas'!$B$35)/20),POWER(10,(B17-'Parameters &amp; Formulas'!$B$35+20*LOG10('Parameters &amp; Formulas'!$B$34))/40))</f>
        <v/>
      </c>
      <c r="D17" s="11">
        <f>C17/1000</f>
        <v/>
      </c>
      <c r="E17" s="12">
        <f>IF(B17&lt;='Parameters &amp; Formulas'!$B$36,"Pre-breakpoint (20 log)","Post-breakpoint (40 log)")</f>
        <v/>
      </c>
    </row>
    <row r="18">
      <c r="A18" s="10" t="n">
        <v>29.25829145728643</v>
      </c>
      <c r="B18" s="11">
        <f>'Parameters &amp; Formulas'!$B$32-(A18+'Parameters &amp; Formulas'!$B$29+'Parameters &amp; Formulas'!$B$17+'Parameters &amp; Formulas'!$B$18)</f>
        <v/>
      </c>
      <c r="C18" s="10">
        <f>IF(B18&lt;='Parameters &amp; Formulas'!$B$36,POWER(10,(B18-'Parameters &amp; Formulas'!$B$35)/20),POWER(10,(B18-'Parameters &amp; Formulas'!$B$35+20*LOG10('Parameters &amp; Formulas'!$B$34))/40))</f>
        <v/>
      </c>
      <c r="D18" s="11">
        <f>C18/1000</f>
        <v/>
      </c>
      <c r="E18" s="12">
        <f>IF(B18&lt;='Parameters &amp; Formulas'!$B$36,"Pre-breakpoint (20 log)","Post-breakpoint (40 log)")</f>
        <v/>
      </c>
    </row>
    <row r="19">
      <c r="A19" s="10" t="n">
        <v>29.08693467336683</v>
      </c>
      <c r="B19" s="11">
        <f>'Parameters &amp; Formulas'!$B$32-(A19+'Parameters &amp; Formulas'!$B$29+'Parameters &amp; Formulas'!$B$17+'Parameters &amp; Formulas'!$B$18)</f>
        <v/>
      </c>
      <c r="C19" s="10">
        <f>IF(B19&lt;='Parameters &amp; Formulas'!$B$36,POWER(10,(B19-'Parameters &amp; Formulas'!$B$35)/20),POWER(10,(B19-'Parameters &amp; Formulas'!$B$35+20*LOG10('Parameters &amp; Formulas'!$B$34))/40))</f>
        <v/>
      </c>
      <c r="D19" s="11">
        <f>C19/1000</f>
        <v/>
      </c>
      <c r="E19" s="12">
        <f>IF(B19&lt;='Parameters &amp; Formulas'!$B$36,"Pre-breakpoint (20 log)","Post-breakpoint (40 log)")</f>
        <v/>
      </c>
    </row>
    <row r="20">
      <c r="A20" s="10" t="n">
        <v>28.91557788944723</v>
      </c>
      <c r="B20" s="11">
        <f>'Parameters &amp; Formulas'!$B$32-(A20+'Parameters &amp; Formulas'!$B$29+'Parameters &amp; Formulas'!$B$17+'Parameters &amp; Formulas'!$B$18)</f>
        <v/>
      </c>
      <c r="C20" s="10">
        <f>IF(B20&lt;='Parameters &amp; Formulas'!$B$36,POWER(10,(B20-'Parameters &amp; Formulas'!$B$35)/20),POWER(10,(B20-'Parameters &amp; Formulas'!$B$35+20*LOG10('Parameters &amp; Formulas'!$B$34))/40))</f>
        <v/>
      </c>
      <c r="D20" s="11">
        <f>C20/1000</f>
        <v/>
      </c>
      <c r="E20" s="12">
        <f>IF(B20&lt;='Parameters &amp; Formulas'!$B$36,"Pre-breakpoint (20 log)","Post-breakpoint (40 log)")</f>
        <v/>
      </c>
    </row>
    <row r="21">
      <c r="A21" s="10" t="n">
        <v>28.74422110552764</v>
      </c>
      <c r="B21" s="11">
        <f>'Parameters &amp; Formulas'!$B$32-(A21+'Parameters &amp; Formulas'!$B$29+'Parameters &amp; Formulas'!$B$17+'Parameters &amp; Formulas'!$B$18)</f>
        <v/>
      </c>
      <c r="C21" s="10">
        <f>IF(B21&lt;='Parameters &amp; Formulas'!$B$36,POWER(10,(B21-'Parameters &amp; Formulas'!$B$35)/20),POWER(10,(B21-'Parameters &amp; Formulas'!$B$35+20*LOG10('Parameters &amp; Formulas'!$B$34))/40))</f>
        <v/>
      </c>
      <c r="D21" s="11">
        <f>C21/1000</f>
        <v/>
      </c>
      <c r="E21" s="12">
        <f>IF(B21&lt;='Parameters &amp; Formulas'!$B$36,"Pre-breakpoint (20 log)","Post-breakpoint (40 log)")</f>
        <v/>
      </c>
    </row>
    <row r="22">
      <c r="A22" s="10" t="n">
        <v>28.57286432160804</v>
      </c>
      <c r="B22" s="11">
        <f>'Parameters &amp; Formulas'!$B$32-(A22+'Parameters &amp; Formulas'!$B$29+'Parameters &amp; Formulas'!$B$17+'Parameters &amp; Formulas'!$B$18)</f>
        <v/>
      </c>
      <c r="C22" s="10">
        <f>IF(B22&lt;='Parameters &amp; Formulas'!$B$36,POWER(10,(B22-'Parameters &amp; Formulas'!$B$35)/20),POWER(10,(B22-'Parameters &amp; Formulas'!$B$35+20*LOG10('Parameters &amp; Formulas'!$B$34))/40))</f>
        <v/>
      </c>
      <c r="D22" s="11">
        <f>C22/1000</f>
        <v/>
      </c>
      <c r="E22" s="12">
        <f>IF(B22&lt;='Parameters &amp; Formulas'!$B$36,"Pre-breakpoint (20 log)","Post-breakpoint (40 log)")</f>
        <v/>
      </c>
    </row>
    <row r="23">
      <c r="A23" s="10" t="n">
        <v>28.40150753768844</v>
      </c>
      <c r="B23" s="11">
        <f>'Parameters &amp; Formulas'!$B$32-(A23+'Parameters &amp; Formulas'!$B$29+'Parameters &amp; Formulas'!$B$17+'Parameters &amp; Formulas'!$B$18)</f>
        <v/>
      </c>
      <c r="C23" s="10">
        <f>IF(B23&lt;='Parameters &amp; Formulas'!$B$36,POWER(10,(B23-'Parameters &amp; Formulas'!$B$35)/20),POWER(10,(B23-'Parameters &amp; Formulas'!$B$35+20*LOG10('Parameters &amp; Formulas'!$B$34))/40))</f>
        <v/>
      </c>
      <c r="D23" s="11">
        <f>C23/1000</f>
        <v/>
      </c>
      <c r="E23" s="12">
        <f>IF(B23&lt;='Parameters &amp; Formulas'!$B$36,"Pre-breakpoint (20 log)","Post-breakpoint (40 log)")</f>
        <v/>
      </c>
    </row>
    <row r="24">
      <c r="A24" s="10" t="n">
        <v>28.23015075376884</v>
      </c>
      <c r="B24" s="11">
        <f>'Parameters &amp; Formulas'!$B$32-(A24+'Parameters &amp; Formulas'!$B$29+'Parameters &amp; Formulas'!$B$17+'Parameters &amp; Formulas'!$B$18)</f>
        <v/>
      </c>
      <c r="C24" s="10">
        <f>IF(B24&lt;='Parameters &amp; Formulas'!$B$36,POWER(10,(B24-'Parameters &amp; Formulas'!$B$35)/20),POWER(10,(B24-'Parameters &amp; Formulas'!$B$35+20*LOG10('Parameters &amp; Formulas'!$B$34))/40))</f>
        <v/>
      </c>
      <c r="D24" s="11">
        <f>C24/1000</f>
        <v/>
      </c>
      <c r="E24" s="12">
        <f>IF(B24&lt;='Parameters &amp; Formulas'!$B$36,"Pre-breakpoint (20 log)","Post-breakpoint (40 log)")</f>
        <v/>
      </c>
    </row>
    <row r="25">
      <c r="A25" s="10" t="n">
        <v>28.05879396984925</v>
      </c>
      <c r="B25" s="11">
        <f>'Parameters &amp; Formulas'!$B$32-(A25+'Parameters &amp; Formulas'!$B$29+'Parameters &amp; Formulas'!$B$17+'Parameters &amp; Formulas'!$B$18)</f>
        <v/>
      </c>
      <c r="C25" s="10">
        <f>IF(B25&lt;='Parameters &amp; Formulas'!$B$36,POWER(10,(B25-'Parameters &amp; Formulas'!$B$35)/20),POWER(10,(B25-'Parameters &amp; Formulas'!$B$35+20*LOG10('Parameters &amp; Formulas'!$B$34))/40))</f>
        <v/>
      </c>
      <c r="D25" s="11">
        <f>C25/1000</f>
        <v/>
      </c>
      <c r="E25" s="12">
        <f>IF(B25&lt;='Parameters &amp; Formulas'!$B$36,"Pre-breakpoint (20 log)","Post-breakpoint (40 log)")</f>
        <v/>
      </c>
    </row>
    <row r="26">
      <c r="A26" s="10" t="n">
        <v>27.88743718592965</v>
      </c>
      <c r="B26" s="11">
        <f>'Parameters &amp; Formulas'!$B$32-(A26+'Parameters &amp; Formulas'!$B$29+'Parameters &amp; Formulas'!$B$17+'Parameters &amp; Formulas'!$B$18)</f>
        <v/>
      </c>
      <c r="C26" s="10">
        <f>IF(B26&lt;='Parameters &amp; Formulas'!$B$36,POWER(10,(B26-'Parameters &amp; Formulas'!$B$35)/20),POWER(10,(B26-'Parameters &amp; Formulas'!$B$35+20*LOG10('Parameters &amp; Formulas'!$B$34))/40))</f>
        <v/>
      </c>
      <c r="D26" s="11">
        <f>C26/1000</f>
        <v/>
      </c>
      <c r="E26" s="12">
        <f>IF(B26&lt;='Parameters &amp; Formulas'!$B$36,"Pre-breakpoint (20 log)","Post-breakpoint (40 log)")</f>
        <v/>
      </c>
    </row>
    <row r="27">
      <c r="A27" s="10" t="n">
        <v>27.71608040201005</v>
      </c>
      <c r="B27" s="11">
        <f>'Parameters &amp; Formulas'!$B$32-(A27+'Parameters &amp; Formulas'!$B$29+'Parameters &amp; Formulas'!$B$17+'Parameters &amp; Formulas'!$B$18)</f>
        <v/>
      </c>
      <c r="C27" s="10">
        <f>IF(B27&lt;='Parameters &amp; Formulas'!$B$36,POWER(10,(B27-'Parameters &amp; Formulas'!$B$35)/20),POWER(10,(B27-'Parameters &amp; Formulas'!$B$35+20*LOG10('Parameters &amp; Formulas'!$B$34))/40))</f>
        <v/>
      </c>
      <c r="D27" s="11">
        <f>C27/1000</f>
        <v/>
      </c>
      <c r="E27" s="12">
        <f>IF(B27&lt;='Parameters &amp; Formulas'!$B$36,"Pre-breakpoint (20 log)","Post-breakpoint (40 log)")</f>
        <v/>
      </c>
    </row>
    <row r="28">
      <c r="A28" s="10" t="n">
        <v>27.54472361809045</v>
      </c>
      <c r="B28" s="11">
        <f>'Parameters &amp; Formulas'!$B$32-(A28+'Parameters &amp; Formulas'!$B$29+'Parameters &amp; Formulas'!$B$17+'Parameters &amp; Formulas'!$B$18)</f>
        <v/>
      </c>
      <c r="C28" s="10">
        <f>IF(B28&lt;='Parameters &amp; Formulas'!$B$36,POWER(10,(B28-'Parameters &amp; Formulas'!$B$35)/20),POWER(10,(B28-'Parameters &amp; Formulas'!$B$35+20*LOG10('Parameters &amp; Formulas'!$B$34))/40))</f>
        <v/>
      </c>
      <c r="D28" s="11">
        <f>C28/1000</f>
        <v/>
      </c>
      <c r="E28" s="12">
        <f>IF(B28&lt;='Parameters &amp; Formulas'!$B$36,"Pre-breakpoint (20 log)","Post-breakpoint (40 log)")</f>
        <v/>
      </c>
    </row>
    <row r="29">
      <c r="A29" s="10" t="n">
        <v>27.37336683417085</v>
      </c>
      <c r="B29" s="11">
        <f>'Parameters &amp; Formulas'!$B$32-(A29+'Parameters &amp; Formulas'!$B$29+'Parameters &amp; Formulas'!$B$17+'Parameters &amp; Formulas'!$B$18)</f>
        <v/>
      </c>
      <c r="C29" s="10">
        <f>IF(B29&lt;='Parameters &amp; Formulas'!$B$36,POWER(10,(B29-'Parameters &amp; Formulas'!$B$35)/20),POWER(10,(B29-'Parameters &amp; Formulas'!$B$35+20*LOG10('Parameters &amp; Formulas'!$B$34))/40))</f>
        <v/>
      </c>
      <c r="D29" s="11">
        <f>C29/1000</f>
        <v/>
      </c>
      <c r="E29" s="12">
        <f>IF(B29&lt;='Parameters &amp; Formulas'!$B$36,"Pre-breakpoint (20 log)","Post-breakpoint (40 log)")</f>
        <v/>
      </c>
    </row>
    <row r="30">
      <c r="A30" s="10" t="n">
        <v>27.20201005025126</v>
      </c>
      <c r="B30" s="11">
        <f>'Parameters &amp; Formulas'!$B$32-(A30+'Parameters &amp; Formulas'!$B$29+'Parameters &amp; Formulas'!$B$17+'Parameters &amp; Formulas'!$B$18)</f>
        <v/>
      </c>
      <c r="C30" s="10">
        <f>IF(B30&lt;='Parameters &amp; Formulas'!$B$36,POWER(10,(B30-'Parameters &amp; Formulas'!$B$35)/20),POWER(10,(B30-'Parameters &amp; Formulas'!$B$35+20*LOG10('Parameters &amp; Formulas'!$B$34))/40))</f>
        <v/>
      </c>
      <c r="D30" s="11">
        <f>C30/1000</f>
        <v/>
      </c>
      <c r="E30" s="12">
        <f>IF(B30&lt;='Parameters &amp; Formulas'!$B$36,"Pre-breakpoint (20 log)","Post-breakpoint (40 log)")</f>
        <v/>
      </c>
    </row>
    <row r="31">
      <c r="A31" s="10" t="n">
        <v>27.03065326633166</v>
      </c>
      <c r="B31" s="11">
        <f>'Parameters &amp; Formulas'!$B$32-(A31+'Parameters &amp; Formulas'!$B$29+'Parameters &amp; Formulas'!$B$17+'Parameters &amp; Formulas'!$B$18)</f>
        <v/>
      </c>
      <c r="C31" s="10">
        <f>IF(B31&lt;='Parameters &amp; Formulas'!$B$36,POWER(10,(B31-'Parameters &amp; Formulas'!$B$35)/20),POWER(10,(B31-'Parameters &amp; Formulas'!$B$35+20*LOG10('Parameters &amp; Formulas'!$B$34))/40))</f>
        <v/>
      </c>
      <c r="D31" s="11">
        <f>C31/1000</f>
        <v/>
      </c>
      <c r="E31" s="12">
        <f>IF(B31&lt;='Parameters &amp; Formulas'!$B$36,"Pre-breakpoint (20 log)","Post-breakpoint (40 log)")</f>
        <v/>
      </c>
    </row>
    <row r="32">
      <c r="A32" s="10" t="n">
        <v>26.85929648241206</v>
      </c>
      <c r="B32" s="11">
        <f>'Parameters &amp; Formulas'!$B$32-(A32+'Parameters &amp; Formulas'!$B$29+'Parameters &amp; Formulas'!$B$17+'Parameters &amp; Formulas'!$B$18)</f>
        <v/>
      </c>
      <c r="C32" s="10">
        <f>IF(B32&lt;='Parameters &amp; Formulas'!$B$36,POWER(10,(B32-'Parameters &amp; Formulas'!$B$35)/20),POWER(10,(B32-'Parameters &amp; Formulas'!$B$35+20*LOG10('Parameters &amp; Formulas'!$B$34))/40))</f>
        <v/>
      </c>
      <c r="D32" s="11">
        <f>C32/1000</f>
        <v/>
      </c>
      <c r="E32" s="12">
        <f>IF(B32&lt;='Parameters &amp; Formulas'!$B$36,"Pre-breakpoint (20 log)","Post-breakpoint (40 log)")</f>
        <v/>
      </c>
    </row>
    <row r="33">
      <c r="A33" s="10" t="n">
        <v>26.68793969849246</v>
      </c>
      <c r="B33" s="11">
        <f>'Parameters &amp; Formulas'!$B$32-(A33+'Parameters &amp; Formulas'!$B$29+'Parameters &amp; Formulas'!$B$17+'Parameters &amp; Formulas'!$B$18)</f>
        <v/>
      </c>
      <c r="C33" s="10">
        <f>IF(B33&lt;='Parameters &amp; Formulas'!$B$36,POWER(10,(B33-'Parameters &amp; Formulas'!$B$35)/20),POWER(10,(B33-'Parameters &amp; Formulas'!$B$35+20*LOG10('Parameters &amp; Formulas'!$B$34))/40))</f>
        <v/>
      </c>
      <c r="D33" s="11">
        <f>C33/1000</f>
        <v/>
      </c>
      <c r="E33" s="12">
        <f>IF(B33&lt;='Parameters &amp; Formulas'!$B$36,"Pre-breakpoint (20 log)","Post-breakpoint (40 log)")</f>
        <v/>
      </c>
    </row>
    <row r="34">
      <c r="A34" s="10" t="n">
        <v>26.51658291457287</v>
      </c>
      <c r="B34" s="11">
        <f>'Parameters &amp; Formulas'!$B$32-(A34+'Parameters &amp; Formulas'!$B$29+'Parameters &amp; Formulas'!$B$17+'Parameters &amp; Formulas'!$B$18)</f>
        <v/>
      </c>
      <c r="C34" s="10">
        <f>IF(B34&lt;='Parameters &amp; Formulas'!$B$36,POWER(10,(B34-'Parameters &amp; Formulas'!$B$35)/20),POWER(10,(B34-'Parameters &amp; Formulas'!$B$35+20*LOG10('Parameters &amp; Formulas'!$B$34))/40))</f>
        <v/>
      </c>
      <c r="D34" s="11">
        <f>C34/1000</f>
        <v/>
      </c>
      <c r="E34" s="12">
        <f>IF(B34&lt;='Parameters &amp; Formulas'!$B$36,"Pre-breakpoint (20 log)","Post-breakpoint (40 log)")</f>
        <v/>
      </c>
    </row>
    <row r="35">
      <c r="A35" s="10" t="n">
        <v>26.34522613065327</v>
      </c>
      <c r="B35" s="11">
        <f>'Parameters &amp; Formulas'!$B$32-(A35+'Parameters &amp; Formulas'!$B$29+'Parameters &amp; Formulas'!$B$17+'Parameters &amp; Formulas'!$B$18)</f>
        <v/>
      </c>
      <c r="C35" s="10">
        <f>IF(B35&lt;='Parameters &amp; Formulas'!$B$36,POWER(10,(B35-'Parameters &amp; Formulas'!$B$35)/20),POWER(10,(B35-'Parameters &amp; Formulas'!$B$35+20*LOG10('Parameters &amp; Formulas'!$B$34))/40))</f>
        <v/>
      </c>
      <c r="D35" s="11">
        <f>C35/1000</f>
        <v/>
      </c>
      <c r="E35" s="12">
        <f>IF(B35&lt;='Parameters &amp; Formulas'!$B$36,"Pre-breakpoint (20 log)","Post-breakpoint (40 log)")</f>
        <v/>
      </c>
    </row>
    <row r="36">
      <c r="A36" s="10" t="n">
        <v>26.17386934673367</v>
      </c>
      <c r="B36" s="11">
        <f>'Parameters &amp; Formulas'!$B$32-(A36+'Parameters &amp; Formulas'!$B$29+'Parameters &amp; Formulas'!$B$17+'Parameters &amp; Formulas'!$B$18)</f>
        <v/>
      </c>
      <c r="C36" s="10">
        <f>IF(B36&lt;='Parameters &amp; Formulas'!$B$36,POWER(10,(B36-'Parameters &amp; Formulas'!$B$35)/20),POWER(10,(B36-'Parameters &amp; Formulas'!$B$35+20*LOG10('Parameters &amp; Formulas'!$B$34))/40))</f>
        <v/>
      </c>
      <c r="D36" s="11">
        <f>C36/1000</f>
        <v/>
      </c>
      <c r="E36" s="12">
        <f>IF(B36&lt;='Parameters &amp; Formulas'!$B$36,"Pre-breakpoint (20 log)","Post-breakpoint (40 log)")</f>
        <v/>
      </c>
    </row>
    <row r="37">
      <c r="A37" s="10" t="n">
        <v>26.00251256281407</v>
      </c>
      <c r="B37" s="11">
        <f>'Parameters &amp; Formulas'!$B$32-(A37+'Parameters &amp; Formulas'!$B$29+'Parameters &amp; Formulas'!$B$17+'Parameters &amp; Formulas'!$B$18)</f>
        <v/>
      </c>
      <c r="C37" s="10">
        <f>IF(B37&lt;='Parameters &amp; Formulas'!$B$36,POWER(10,(B37-'Parameters &amp; Formulas'!$B$35)/20),POWER(10,(B37-'Parameters &amp; Formulas'!$B$35+20*LOG10('Parameters &amp; Formulas'!$B$34))/40))</f>
        <v/>
      </c>
      <c r="D37" s="11">
        <f>C37/1000</f>
        <v/>
      </c>
      <c r="E37" s="12">
        <f>IF(B37&lt;='Parameters &amp; Formulas'!$B$36,"Pre-breakpoint (20 log)","Post-breakpoint (40 log)")</f>
        <v/>
      </c>
    </row>
    <row r="38">
      <c r="A38" s="10" t="n">
        <v>25.83115577889447</v>
      </c>
      <c r="B38" s="11">
        <f>'Parameters &amp; Formulas'!$B$32-(A38+'Parameters &amp; Formulas'!$B$29+'Parameters &amp; Formulas'!$B$17+'Parameters &amp; Formulas'!$B$18)</f>
        <v/>
      </c>
      <c r="C38" s="10">
        <f>IF(B38&lt;='Parameters &amp; Formulas'!$B$36,POWER(10,(B38-'Parameters &amp; Formulas'!$B$35)/20),POWER(10,(B38-'Parameters &amp; Formulas'!$B$35+20*LOG10('Parameters &amp; Formulas'!$B$34))/40))</f>
        <v/>
      </c>
      <c r="D38" s="11">
        <f>C38/1000</f>
        <v/>
      </c>
      <c r="E38" s="12">
        <f>IF(B38&lt;='Parameters &amp; Formulas'!$B$36,"Pre-breakpoint (20 log)","Post-breakpoint (40 log)")</f>
        <v/>
      </c>
    </row>
    <row r="39">
      <c r="A39" s="10" t="n">
        <v>25.65979899497487</v>
      </c>
      <c r="B39" s="11">
        <f>'Parameters &amp; Formulas'!$B$32-(A39+'Parameters &amp; Formulas'!$B$29+'Parameters &amp; Formulas'!$B$17+'Parameters &amp; Formulas'!$B$18)</f>
        <v/>
      </c>
      <c r="C39" s="10">
        <f>IF(B39&lt;='Parameters &amp; Formulas'!$B$36,POWER(10,(B39-'Parameters &amp; Formulas'!$B$35)/20),POWER(10,(B39-'Parameters &amp; Formulas'!$B$35+20*LOG10('Parameters &amp; Formulas'!$B$34))/40))</f>
        <v/>
      </c>
      <c r="D39" s="11">
        <f>C39/1000</f>
        <v/>
      </c>
      <c r="E39" s="12">
        <f>IF(B39&lt;='Parameters &amp; Formulas'!$B$36,"Pre-breakpoint (20 log)","Post-breakpoint (40 log)")</f>
        <v/>
      </c>
    </row>
    <row r="40">
      <c r="A40" s="10" t="n">
        <v>25.48844221105528</v>
      </c>
      <c r="B40" s="11">
        <f>'Parameters &amp; Formulas'!$B$32-(A40+'Parameters &amp; Formulas'!$B$29+'Parameters &amp; Formulas'!$B$17+'Parameters &amp; Formulas'!$B$18)</f>
        <v/>
      </c>
      <c r="C40" s="10">
        <f>IF(B40&lt;='Parameters &amp; Formulas'!$B$36,POWER(10,(B40-'Parameters &amp; Formulas'!$B$35)/20),POWER(10,(B40-'Parameters &amp; Formulas'!$B$35+20*LOG10('Parameters &amp; Formulas'!$B$34))/40))</f>
        <v/>
      </c>
      <c r="D40" s="11">
        <f>C40/1000</f>
        <v/>
      </c>
      <c r="E40" s="12">
        <f>IF(B40&lt;='Parameters &amp; Formulas'!$B$36,"Pre-breakpoint (20 log)","Post-breakpoint (40 log)")</f>
        <v/>
      </c>
    </row>
    <row r="41">
      <c r="A41" s="10" t="n">
        <v>25.31708542713568</v>
      </c>
      <c r="B41" s="11">
        <f>'Parameters &amp; Formulas'!$B$32-(A41+'Parameters &amp; Formulas'!$B$29+'Parameters &amp; Formulas'!$B$17+'Parameters &amp; Formulas'!$B$18)</f>
        <v/>
      </c>
      <c r="C41" s="10">
        <f>IF(B41&lt;='Parameters &amp; Formulas'!$B$36,POWER(10,(B41-'Parameters &amp; Formulas'!$B$35)/20),POWER(10,(B41-'Parameters &amp; Formulas'!$B$35+20*LOG10('Parameters &amp; Formulas'!$B$34))/40))</f>
        <v/>
      </c>
      <c r="D41" s="11">
        <f>C41/1000</f>
        <v/>
      </c>
      <c r="E41" s="12">
        <f>IF(B41&lt;='Parameters &amp; Formulas'!$B$36,"Pre-breakpoint (20 log)","Post-breakpoint (40 log)")</f>
        <v/>
      </c>
    </row>
    <row r="42">
      <c r="A42" s="10" t="n">
        <v>25.14572864321608</v>
      </c>
      <c r="B42" s="11">
        <f>'Parameters &amp; Formulas'!$B$32-(A42+'Parameters &amp; Formulas'!$B$29+'Parameters &amp; Formulas'!$B$17+'Parameters &amp; Formulas'!$B$18)</f>
        <v/>
      </c>
      <c r="C42" s="10">
        <f>IF(B42&lt;='Parameters &amp; Formulas'!$B$36,POWER(10,(B42-'Parameters &amp; Formulas'!$B$35)/20),POWER(10,(B42-'Parameters &amp; Formulas'!$B$35+20*LOG10('Parameters &amp; Formulas'!$B$34))/40))</f>
        <v/>
      </c>
      <c r="D42" s="11">
        <f>C42/1000</f>
        <v/>
      </c>
      <c r="E42" s="12">
        <f>IF(B42&lt;='Parameters &amp; Formulas'!$B$36,"Pre-breakpoint (20 log)","Post-breakpoint (40 log)")</f>
        <v/>
      </c>
    </row>
    <row r="43">
      <c r="A43" s="10" t="n">
        <v>24.97437185929648</v>
      </c>
      <c r="B43" s="11">
        <f>'Parameters &amp; Formulas'!$B$32-(A43+'Parameters &amp; Formulas'!$B$29+'Parameters &amp; Formulas'!$B$17+'Parameters &amp; Formulas'!$B$18)</f>
        <v/>
      </c>
      <c r="C43" s="10">
        <f>IF(B43&lt;='Parameters &amp; Formulas'!$B$36,POWER(10,(B43-'Parameters &amp; Formulas'!$B$35)/20),POWER(10,(B43-'Parameters &amp; Formulas'!$B$35+20*LOG10('Parameters &amp; Formulas'!$B$34))/40))</f>
        <v/>
      </c>
      <c r="D43" s="11">
        <f>C43/1000</f>
        <v/>
      </c>
      <c r="E43" s="12">
        <f>IF(B43&lt;='Parameters &amp; Formulas'!$B$36,"Pre-breakpoint (20 log)","Post-breakpoint (40 log)")</f>
        <v/>
      </c>
    </row>
    <row r="44">
      <c r="A44" s="10" t="n">
        <v>24.80301507537688</v>
      </c>
      <c r="B44" s="11">
        <f>'Parameters &amp; Formulas'!$B$32-(A44+'Parameters &amp; Formulas'!$B$29+'Parameters &amp; Formulas'!$B$17+'Parameters &amp; Formulas'!$B$18)</f>
        <v/>
      </c>
      <c r="C44" s="10">
        <f>IF(B44&lt;='Parameters &amp; Formulas'!$B$36,POWER(10,(B44-'Parameters &amp; Formulas'!$B$35)/20),POWER(10,(B44-'Parameters &amp; Formulas'!$B$35+20*LOG10('Parameters &amp; Formulas'!$B$34))/40))</f>
        <v/>
      </c>
      <c r="D44" s="11">
        <f>C44/1000</f>
        <v/>
      </c>
      <c r="E44" s="12">
        <f>IF(B44&lt;='Parameters &amp; Formulas'!$B$36,"Pre-breakpoint (20 log)","Post-breakpoint (40 log)")</f>
        <v/>
      </c>
    </row>
    <row r="45">
      <c r="A45" s="10" t="n">
        <v>24.63165829145728</v>
      </c>
      <c r="B45" s="11">
        <f>'Parameters &amp; Formulas'!$B$32-(A45+'Parameters &amp; Formulas'!$B$29+'Parameters &amp; Formulas'!$B$17+'Parameters &amp; Formulas'!$B$18)</f>
        <v/>
      </c>
      <c r="C45" s="10">
        <f>IF(B45&lt;='Parameters &amp; Formulas'!$B$36,POWER(10,(B45-'Parameters &amp; Formulas'!$B$35)/20),POWER(10,(B45-'Parameters &amp; Formulas'!$B$35+20*LOG10('Parameters &amp; Formulas'!$B$34))/40))</f>
        <v/>
      </c>
      <c r="D45" s="11">
        <f>C45/1000</f>
        <v/>
      </c>
      <c r="E45" s="12">
        <f>IF(B45&lt;='Parameters &amp; Formulas'!$B$36,"Pre-breakpoint (20 log)","Post-breakpoint (40 log)")</f>
        <v/>
      </c>
    </row>
    <row r="46">
      <c r="A46" s="10" t="n">
        <v>24.46030150753769</v>
      </c>
      <c r="B46" s="11">
        <f>'Parameters &amp; Formulas'!$B$32-(A46+'Parameters &amp; Formulas'!$B$29+'Parameters &amp; Formulas'!$B$17+'Parameters &amp; Formulas'!$B$18)</f>
        <v/>
      </c>
      <c r="C46" s="10">
        <f>IF(B46&lt;='Parameters &amp; Formulas'!$B$36,POWER(10,(B46-'Parameters &amp; Formulas'!$B$35)/20),POWER(10,(B46-'Parameters &amp; Formulas'!$B$35+20*LOG10('Parameters &amp; Formulas'!$B$34))/40))</f>
        <v/>
      </c>
      <c r="D46" s="11">
        <f>C46/1000</f>
        <v/>
      </c>
      <c r="E46" s="12">
        <f>IF(B46&lt;='Parameters &amp; Formulas'!$B$36,"Pre-breakpoint (20 log)","Post-breakpoint (40 log)")</f>
        <v/>
      </c>
    </row>
    <row r="47">
      <c r="A47" s="10" t="n">
        <v>24.28894472361809</v>
      </c>
      <c r="B47" s="11">
        <f>'Parameters &amp; Formulas'!$B$32-(A47+'Parameters &amp; Formulas'!$B$29+'Parameters &amp; Formulas'!$B$17+'Parameters &amp; Formulas'!$B$18)</f>
        <v/>
      </c>
      <c r="C47" s="10">
        <f>IF(B47&lt;='Parameters &amp; Formulas'!$B$36,POWER(10,(B47-'Parameters &amp; Formulas'!$B$35)/20),POWER(10,(B47-'Parameters &amp; Formulas'!$B$35+20*LOG10('Parameters &amp; Formulas'!$B$34))/40))</f>
        <v/>
      </c>
      <c r="D47" s="11">
        <f>C47/1000</f>
        <v/>
      </c>
      <c r="E47" s="12">
        <f>IF(B47&lt;='Parameters &amp; Formulas'!$B$36,"Pre-breakpoint (20 log)","Post-breakpoint (40 log)")</f>
        <v/>
      </c>
    </row>
    <row r="48">
      <c r="A48" s="10" t="n">
        <v>24.11758793969849</v>
      </c>
      <c r="B48" s="11">
        <f>'Parameters &amp; Formulas'!$B$32-(A48+'Parameters &amp; Formulas'!$B$29+'Parameters &amp; Formulas'!$B$17+'Parameters &amp; Formulas'!$B$18)</f>
        <v/>
      </c>
      <c r="C48" s="10">
        <f>IF(B48&lt;='Parameters &amp; Formulas'!$B$36,POWER(10,(B48-'Parameters &amp; Formulas'!$B$35)/20),POWER(10,(B48-'Parameters &amp; Formulas'!$B$35+20*LOG10('Parameters &amp; Formulas'!$B$34))/40))</f>
        <v/>
      </c>
      <c r="D48" s="11">
        <f>C48/1000</f>
        <v/>
      </c>
      <c r="E48" s="12">
        <f>IF(B48&lt;='Parameters &amp; Formulas'!$B$36,"Pre-breakpoint (20 log)","Post-breakpoint (40 log)")</f>
        <v/>
      </c>
    </row>
    <row r="49">
      <c r="A49" s="10" t="n">
        <v>23.9462311557789</v>
      </c>
      <c r="B49" s="11">
        <f>'Parameters &amp; Formulas'!$B$32-(A49+'Parameters &amp; Formulas'!$B$29+'Parameters &amp; Formulas'!$B$17+'Parameters &amp; Formulas'!$B$18)</f>
        <v/>
      </c>
      <c r="C49" s="10">
        <f>IF(B49&lt;='Parameters &amp; Formulas'!$B$36,POWER(10,(B49-'Parameters &amp; Formulas'!$B$35)/20),POWER(10,(B49-'Parameters &amp; Formulas'!$B$35+20*LOG10('Parameters &amp; Formulas'!$B$34))/40))</f>
        <v/>
      </c>
      <c r="D49" s="11">
        <f>C49/1000</f>
        <v/>
      </c>
      <c r="E49" s="12">
        <f>IF(B49&lt;='Parameters &amp; Formulas'!$B$36,"Pre-breakpoint (20 log)","Post-breakpoint (40 log)")</f>
        <v/>
      </c>
    </row>
    <row r="50">
      <c r="A50" s="10" t="n">
        <v>23.7748743718593</v>
      </c>
      <c r="B50" s="11">
        <f>'Parameters &amp; Formulas'!$B$32-(A50+'Parameters &amp; Formulas'!$B$29+'Parameters &amp; Formulas'!$B$17+'Parameters &amp; Formulas'!$B$18)</f>
        <v/>
      </c>
      <c r="C50" s="10">
        <f>IF(B50&lt;='Parameters &amp; Formulas'!$B$36,POWER(10,(B50-'Parameters &amp; Formulas'!$B$35)/20),POWER(10,(B50-'Parameters &amp; Formulas'!$B$35+20*LOG10('Parameters &amp; Formulas'!$B$34))/40))</f>
        <v/>
      </c>
      <c r="D50" s="11">
        <f>C50/1000</f>
        <v/>
      </c>
      <c r="E50" s="12">
        <f>IF(B50&lt;='Parameters &amp; Formulas'!$B$36,"Pre-breakpoint (20 log)","Post-breakpoint (40 log)")</f>
        <v/>
      </c>
    </row>
    <row r="51">
      <c r="A51" s="10" t="n">
        <v>23.6035175879397</v>
      </c>
      <c r="B51" s="11">
        <f>'Parameters &amp; Formulas'!$B$32-(A51+'Parameters &amp; Formulas'!$B$29+'Parameters &amp; Formulas'!$B$17+'Parameters &amp; Formulas'!$B$18)</f>
        <v/>
      </c>
      <c r="C51" s="10">
        <f>IF(B51&lt;='Parameters &amp; Formulas'!$B$36,POWER(10,(B51-'Parameters &amp; Formulas'!$B$35)/20),POWER(10,(B51-'Parameters &amp; Formulas'!$B$35+20*LOG10('Parameters &amp; Formulas'!$B$34))/40))</f>
        <v/>
      </c>
      <c r="D51" s="11">
        <f>C51/1000</f>
        <v/>
      </c>
      <c r="E51" s="12">
        <f>IF(B51&lt;='Parameters &amp; Formulas'!$B$36,"Pre-breakpoint (20 log)","Post-breakpoint (40 log)")</f>
        <v/>
      </c>
    </row>
    <row r="52">
      <c r="A52" s="10" t="n">
        <v>23.4321608040201</v>
      </c>
      <c r="B52" s="11">
        <f>'Parameters &amp; Formulas'!$B$32-(A52+'Parameters &amp; Formulas'!$B$29+'Parameters &amp; Formulas'!$B$17+'Parameters &amp; Formulas'!$B$18)</f>
        <v/>
      </c>
      <c r="C52" s="10">
        <f>IF(B52&lt;='Parameters &amp; Formulas'!$B$36,POWER(10,(B52-'Parameters &amp; Formulas'!$B$35)/20),POWER(10,(B52-'Parameters &amp; Formulas'!$B$35+20*LOG10('Parameters &amp; Formulas'!$B$34))/40))</f>
        <v/>
      </c>
      <c r="D52" s="11">
        <f>C52/1000</f>
        <v/>
      </c>
      <c r="E52" s="12">
        <f>IF(B52&lt;='Parameters &amp; Formulas'!$B$36,"Pre-breakpoint (20 log)","Post-breakpoint (40 log)")</f>
        <v/>
      </c>
    </row>
    <row r="53">
      <c r="A53" s="10" t="n">
        <v>23.2608040201005</v>
      </c>
      <c r="B53" s="11">
        <f>'Parameters &amp; Formulas'!$B$32-(A53+'Parameters &amp; Formulas'!$B$29+'Parameters &amp; Formulas'!$B$17+'Parameters &amp; Formulas'!$B$18)</f>
        <v/>
      </c>
      <c r="C53" s="10">
        <f>IF(B53&lt;='Parameters &amp; Formulas'!$B$36,POWER(10,(B53-'Parameters &amp; Formulas'!$B$35)/20),POWER(10,(B53-'Parameters &amp; Formulas'!$B$35+20*LOG10('Parameters &amp; Formulas'!$B$34))/40))</f>
        <v/>
      </c>
      <c r="D53" s="11">
        <f>C53/1000</f>
        <v/>
      </c>
      <c r="E53" s="12">
        <f>IF(B53&lt;='Parameters &amp; Formulas'!$B$36,"Pre-breakpoint (20 log)","Post-breakpoint (40 log)")</f>
        <v/>
      </c>
    </row>
    <row r="54">
      <c r="A54" s="10" t="n">
        <v>23.0894472361809</v>
      </c>
      <c r="B54" s="11">
        <f>'Parameters &amp; Formulas'!$B$32-(A54+'Parameters &amp; Formulas'!$B$29+'Parameters &amp; Formulas'!$B$17+'Parameters &amp; Formulas'!$B$18)</f>
        <v/>
      </c>
      <c r="C54" s="10">
        <f>IF(B54&lt;='Parameters &amp; Formulas'!$B$36,POWER(10,(B54-'Parameters &amp; Formulas'!$B$35)/20),POWER(10,(B54-'Parameters &amp; Formulas'!$B$35+20*LOG10('Parameters &amp; Formulas'!$B$34))/40))</f>
        <v/>
      </c>
      <c r="D54" s="11">
        <f>C54/1000</f>
        <v/>
      </c>
      <c r="E54" s="12">
        <f>IF(B54&lt;='Parameters &amp; Formulas'!$B$36,"Pre-breakpoint (20 log)","Post-breakpoint (40 log)")</f>
        <v/>
      </c>
    </row>
    <row r="55">
      <c r="A55" s="10" t="n">
        <v>22.91809045226131</v>
      </c>
      <c r="B55" s="11">
        <f>'Parameters &amp; Formulas'!$B$32-(A55+'Parameters &amp; Formulas'!$B$29+'Parameters &amp; Formulas'!$B$17+'Parameters &amp; Formulas'!$B$18)</f>
        <v/>
      </c>
      <c r="C55" s="10">
        <f>IF(B55&lt;='Parameters &amp; Formulas'!$B$36,POWER(10,(B55-'Parameters &amp; Formulas'!$B$35)/20),POWER(10,(B55-'Parameters &amp; Formulas'!$B$35+20*LOG10('Parameters &amp; Formulas'!$B$34))/40))</f>
        <v/>
      </c>
      <c r="D55" s="11">
        <f>C55/1000</f>
        <v/>
      </c>
      <c r="E55" s="12">
        <f>IF(B55&lt;='Parameters &amp; Formulas'!$B$36,"Pre-breakpoint (20 log)","Post-breakpoint (40 log)")</f>
        <v/>
      </c>
    </row>
    <row r="56">
      <c r="A56" s="10" t="n">
        <v>22.74673366834171</v>
      </c>
      <c r="B56" s="11">
        <f>'Parameters &amp; Formulas'!$B$32-(A56+'Parameters &amp; Formulas'!$B$29+'Parameters &amp; Formulas'!$B$17+'Parameters &amp; Formulas'!$B$18)</f>
        <v/>
      </c>
      <c r="C56" s="10">
        <f>IF(B56&lt;='Parameters &amp; Formulas'!$B$36,POWER(10,(B56-'Parameters &amp; Formulas'!$B$35)/20),POWER(10,(B56-'Parameters &amp; Formulas'!$B$35+20*LOG10('Parameters &amp; Formulas'!$B$34))/40))</f>
        <v/>
      </c>
      <c r="D56" s="11">
        <f>C56/1000</f>
        <v/>
      </c>
      <c r="E56" s="12">
        <f>IF(B56&lt;='Parameters &amp; Formulas'!$B$36,"Pre-breakpoint (20 log)","Post-breakpoint (40 log)")</f>
        <v/>
      </c>
    </row>
    <row r="57">
      <c r="A57" s="10" t="n">
        <v>22.57537688442211</v>
      </c>
      <c r="B57" s="11">
        <f>'Parameters &amp; Formulas'!$B$32-(A57+'Parameters &amp; Formulas'!$B$29+'Parameters &amp; Formulas'!$B$17+'Parameters &amp; Formulas'!$B$18)</f>
        <v/>
      </c>
      <c r="C57" s="10">
        <f>IF(B57&lt;='Parameters &amp; Formulas'!$B$36,POWER(10,(B57-'Parameters &amp; Formulas'!$B$35)/20),POWER(10,(B57-'Parameters &amp; Formulas'!$B$35+20*LOG10('Parameters &amp; Formulas'!$B$34))/40))</f>
        <v/>
      </c>
      <c r="D57" s="11">
        <f>C57/1000</f>
        <v/>
      </c>
      <c r="E57" s="12">
        <f>IF(B57&lt;='Parameters &amp; Formulas'!$B$36,"Pre-breakpoint (20 log)","Post-breakpoint (40 log)")</f>
        <v/>
      </c>
    </row>
    <row r="58">
      <c r="A58" s="10" t="n">
        <v>22.40402010050251</v>
      </c>
      <c r="B58" s="11">
        <f>'Parameters &amp; Formulas'!$B$32-(A58+'Parameters &amp; Formulas'!$B$29+'Parameters &amp; Formulas'!$B$17+'Parameters &amp; Formulas'!$B$18)</f>
        <v/>
      </c>
      <c r="C58" s="10">
        <f>IF(B58&lt;='Parameters &amp; Formulas'!$B$36,POWER(10,(B58-'Parameters &amp; Formulas'!$B$35)/20),POWER(10,(B58-'Parameters &amp; Formulas'!$B$35+20*LOG10('Parameters &amp; Formulas'!$B$34))/40))</f>
        <v/>
      </c>
      <c r="D58" s="11">
        <f>C58/1000</f>
        <v/>
      </c>
      <c r="E58" s="12">
        <f>IF(B58&lt;='Parameters &amp; Formulas'!$B$36,"Pre-breakpoint (20 log)","Post-breakpoint (40 log)")</f>
        <v/>
      </c>
    </row>
    <row r="59">
      <c r="A59" s="10" t="n">
        <v>22.23266331658292</v>
      </c>
      <c r="B59" s="11">
        <f>'Parameters &amp; Formulas'!$B$32-(A59+'Parameters &amp; Formulas'!$B$29+'Parameters &amp; Formulas'!$B$17+'Parameters &amp; Formulas'!$B$18)</f>
        <v/>
      </c>
      <c r="C59" s="10">
        <f>IF(B59&lt;='Parameters &amp; Formulas'!$B$36,POWER(10,(B59-'Parameters &amp; Formulas'!$B$35)/20),POWER(10,(B59-'Parameters &amp; Formulas'!$B$35+20*LOG10('Parameters &amp; Formulas'!$B$34))/40))</f>
        <v/>
      </c>
      <c r="D59" s="11">
        <f>C59/1000</f>
        <v/>
      </c>
      <c r="E59" s="12">
        <f>IF(B59&lt;='Parameters &amp; Formulas'!$B$36,"Pre-breakpoint (20 log)","Post-breakpoint (40 log)")</f>
        <v/>
      </c>
    </row>
    <row r="60">
      <c r="A60" s="10" t="n">
        <v>22.06130653266332</v>
      </c>
      <c r="B60" s="11">
        <f>'Parameters &amp; Formulas'!$B$32-(A60+'Parameters &amp; Formulas'!$B$29+'Parameters &amp; Formulas'!$B$17+'Parameters &amp; Formulas'!$B$18)</f>
        <v/>
      </c>
      <c r="C60" s="10">
        <f>IF(B60&lt;='Parameters &amp; Formulas'!$B$36,POWER(10,(B60-'Parameters &amp; Formulas'!$B$35)/20),POWER(10,(B60-'Parameters &amp; Formulas'!$B$35+20*LOG10('Parameters &amp; Formulas'!$B$34))/40))</f>
        <v/>
      </c>
      <c r="D60" s="11">
        <f>C60/1000</f>
        <v/>
      </c>
      <c r="E60" s="12">
        <f>IF(B60&lt;='Parameters &amp; Formulas'!$B$36,"Pre-breakpoint (20 log)","Post-breakpoint (40 log)")</f>
        <v/>
      </c>
    </row>
    <row r="61">
      <c r="A61" s="10" t="n">
        <v>21.88994974874372</v>
      </c>
      <c r="B61" s="11">
        <f>'Parameters &amp; Formulas'!$B$32-(A61+'Parameters &amp; Formulas'!$B$29+'Parameters &amp; Formulas'!$B$17+'Parameters &amp; Formulas'!$B$18)</f>
        <v/>
      </c>
      <c r="C61" s="10">
        <f>IF(B61&lt;='Parameters &amp; Formulas'!$B$36,POWER(10,(B61-'Parameters &amp; Formulas'!$B$35)/20),POWER(10,(B61-'Parameters &amp; Formulas'!$B$35+20*LOG10('Parameters &amp; Formulas'!$B$34))/40))</f>
        <v/>
      </c>
      <c r="D61" s="11">
        <f>C61/1000</f>
        <v/>
      </c>
      <c r="E61" s="12">
        <f>IF(B61&lt;='Parameters &amp; Formulas'!$B$36,"Pre-breakpoint (20 log)","Post-breakpoint (40 log)")</f>
        <v/>
      </c>
    </row>
    <row r="62">
      <c r="A62" s="10" t="n">
        <v>21.71859296482412</v>
      </c>
      <c r="B62" s="11">
        <f>'Parameters &amp; Formulas'!$B$32-(A62+'Parameters &amp; Formulas'!$B$29+'Parameters &amp; Formulas'!$B$17+'Parameters &amp; Formulas'!$B$18)</f>
        <v/>
      </c>
      <c r="C62" s="10">
        <f>IF(B62&lt;='Parameters &amp; Formulas'!$B$36,POWER(10,(B62-'Parameters &amp; Formulas'!$B$35)/20),POWER(10,(B62-'Parameters &amp; Formulas'!$B$35+20*LOG10('Parameters &amp; Formulas'!$B$34))/40))</f>
        <v/>
      </c>
      <c r="D62" s="11">
        <f>C62/1000</f>
        <v/>
      </c>
      <c r="E62" s="12">
        <f>IF(B62&lt;='Parameters &amp; Formulas'!$B$36,"Pre-breakpoint (20 log)","Post-breakpoint (40 log)")</f>
        <v/>
      </c>
    </row>
    <row r="63">
      <c r="A63" s="10" t="n">
        <v>21.54723618090452</v>
      </c>
      <c r="B63" s="11">
        <f>'Parameters &amp; Formulas'!$B$32-(A63+'Parameters &amp; Formulas'!$B$29+'Parameters &amp; Formulas'!$B$17+'Parameters &amp; Formulas'!$B$18)</f>
        <v/>
      </c>
      <c r="C63" s="10">
        <f>IF(B63&lt;='Parameters &amp; Formulas'!$B$36,POWER(10,(B63-'Parameters &amp; Formulas'!$B$35)/20),POWER(10,(B63-'Parameters &amp; Formulas'!$B$35+20*LOG10('Parameters &amp; Formulas'!$B$34))/40))</f>
        <v/>
      </c>
      <c r="D63" s="11">
        <f>C63/1000</f>
        <v/>
      </c>
      <c r="E63" s="12">
        <f>IF(B63&lt;='Parameters &amp; Formulas'!$B$36,"Pre-breakpoint (20 log)","Post-breakpoint (40 log)")</f>
        <v/>
      </c>
    </row>
    <row r="64">
      <c r="A64" s="10" t="n">
        <v>21.37587939698492</v>
      </c>
      <c r="B64" s="11">
        <f>'Parameters &amp; Formulas'!$B$32-(A64+'Parameters &amp; Formulas'!$B$29+'Parameters &amp; Formulas'!$B$17+'Parameters &amp; Formulas'!$B$18)</f>
        <v/>
      </c>
      <c r="C64" s="10">
        <f>IF(B64&lt;='Parameters &amp; Formulas'!$B$36,POWER(10,(B64-'Parameters &amp; Formulas'!$B$35)/20),POWER(10,(B64-'Parameters &amp; Formulas'!$B$35+20*LOG10('Parameters &amp; Formulas'!$B$34))/40))</f>
        <v/>
      </c>
      <c r="D64" s="11">
        <f>C64/1000</f>
        <v/>
      </c>
      <c r="E64" s="12">
        <f>IF(B64&lt;='Parameters &amp; Formulas'!$B$36,"Pre-breakpoint (20 log)","Post-breakpoint (40 log)")</f>
        <v/>
      </c>
    </row>
    <row r="65">
      <c r="A65" s="10" t="n">
        <v>21.20452261306533</v>
      </c>
      <c r="B65" s="11">
        <f>'Parameters &amp; Formulas'!$B$32-(A65+'Parameters &amp; Formulas'!$B$29+'Parameters &amp; Formulas'!$B$17+'Parameters &amp; Formulas'!$B$18)</f>
        <v/>
      </c>
      <c r="C65" s="10">
        <f>IF(B65&lt;='Parameters &amp; Formulas'!$B$36,POWER(10,(B65-'Parameters &amp; Formulas'!$B$35)/20),POWER(10,(B65-'Parameters &amp; Formulas'!$B$35+20*LOG10('Parameters &amp; Formulas'!$B$34))/40))</f>
        <v/>
      </c>
      <c r="D65" s="11">
        <f>C65/1000</f>
        <v/>
      </c>
      <c r="E65" s="12">
        <f>IF(B65&lt;='Parameters &amp; Formulas'!$B$36,"Pre-breakpoint (20 log)","Post-breakpoint (40 log)")</f>
        <v/>
      </c>
    </row>
    <row r="66">
      <c r="A66" s="10" t="n">
        <v>21.03316582914573</v>
      </c>
      <c r="B66" s="11">
        <f>'Parameters &amp; Formulas'!$B$32-(A66+'Parameters &amp; Formulas'!$B$29+'Parameters &amp; Formulas'!$B$17+'Parameters &amp; Formulas'!$B$18)</f>
        <v/>
      </c>
      <c r="C66" s="10">
        <f>IF(B66&lt;='Parameters &amp; Formulas'!$B$36,POWER(10,(B66-'Parameters &amp; Formulas'!$B$35)/20),POWER(10,(B66-'Parameters &amp; Formulas'!$B$35+20*LOG10('Parameters &amp; Formulas'!$B$34))/40))</f>
        <v/>
      </c>
      <c r="D66" s="11">
        <f>C66/1000</f>
        <v/>
      </c>
      <c r="E66" s="12">
        <f>IF(B66&lt;='Parameters &amp; Formulas'!$B$36,"Pre-breakpoint (20 log)","Post-breakpoint (40 log)")</f>
        <v/>
      </c>
    </row>
    <row r="67">
      <c r="A67" s="10" t="n">
        <v>20.86180904522613</v>
      </c>
      <c r="B67" s="11">
        <f>'Parameters &amp; Formulas'!$B$32-(A67+'Parameters &amp; Formulas'!$B$29+'Parameters &amp; Formulas'!$B$17+'Parameters &amp; Formulas'!$B$18)</f>
        <v/>
      </c>
      <c r="C67" s="10">
        <f>IF(B67&lt;='Parameters &amp; Formulas'!$B$36,POWER(10,(B67-'Parameters &amp; Formulas'!$B$35)/20),POWER(10,(B67-'Parameters &amp; Formulas'!$B$35+20*LOG10('Parameters &amp; Formulas'!$B$34))/40))</f>
        <v/>
      </c>
      <c r="D67" s="11">
        <f>C67/1000</f>
        <v/>
      </c>
      <c r="E67" s="12">
        <f>IF(B67&lt;='Parameters &amp; Formulas'!$B$36,"Pre-breakpoint (20 log)","Post-breakpoint (40 log)")</f>
        <v/>
      </c>
    </row>
    <row r="68">
      <c r="A68" s="10" t="n">
        <v>20.69045226130653</v>
      </c>
      <c r="B68" s="11">
        <f>'Parameters &amp; Formulas'!$B$32-(A68+'Parameters &amp; Formulas'!$B$29+'Parameters &amp; Formulas'!$B$17+'Parameters &amp; Formulas'!$B$18)</f>
        <v/>
      </c>
      <c r="C68" s="10">
        <f>IF(B68&lt;='Parameters &amp; Formulas'!$B$36,POWER(10,(B68-'Parameters &amp; Formulas'!$B$35)/20),POWER(10,(B68-'Parameters &amp; Formulas'!$B$35+20*LOG10('Parameters &amp; Formulas'!$B$34))/40))</f>
        <v/>
      </c>
      <c r="D68" s="11">
        <f>C68/1000</f>
        <v/>
      </c>
      <c r="E68" s="12">
        <f>IF(B68&lt;='Parameters &amp; Formulas'!$B$36,"Pre-breakpoint (20 log)","Post-breakpoint (40 log)")</f>
        <v/>
      </c>
    </row>
    <row r="69">
      <c r="A69" s="10" t="n">
        <v>20.51909547738693</v>
      </c>
      <c r="B69" s="11">
        <f>'Parameters &amp; Formulas'!$B$32-(A69+'Parameters &amp; Formulas'!$B$29+'Parameters &amp; Formulas'!$B$17+'Parameters &amp; Formulas'!$B$18)</f>
        <v/>
      </c>
      <c r="C69" s="10">
        <f>IF(B69&lt;='Parameters &amp; Formulas'!$B$36,POWER(10,(B69-'Parameters &amp; Formulas'!$B$35)/20),POWER(10,(B69-'Parameters &amp; Formulas'!$B$35+20*LOG10('Parameters &amp; Formulas'!$B$34))/40))</f>
        <v/>
      </c>
      <c r="D69" s="11">
        <f>C69/1000</f>
        <v/>
      </c>
      <c r="E69" s="12">
        <f>IF(B69&lt;='Parameters &amp; Formulas'!$B$36,"Pre-breakpoint (20 log)","Post-breakpoint (40 log)")</f>
        <v/>
      </c>
    </row>
    <row r="70">
      <c r="A70" s="10" t="n">
        <v>20.34773869346733</v>
      </c>
      <c r="B70" s="11">
        <f>'Parameters &amp; Formulas'!$B$32-(A70+'Parameters &amp; Formulas'!$B$29+'Parameters &amp; Formulas'!$B$17+'Parameters &amp; Formulas'!$B$18)</f>
        <v/>
      </c>
      <c r="C70" s="10">
        <f>IF(B70&lt;='Parameters &amp; Formulas'!$B$36,POWER(10,(B70-'Parameters &amp; Formulas'!$B$35)/20),POWER(10,(B70-'Parameters &amp; Formulas'!$B$35+20*LOG10('Parameters &amp; Formulas'!$B$34))/40))</f>
        <v/>
      </c>
      <c r="D70" s="11">
        <f>C70/1000</f>
        <v/>
      </c>
      <c r="E70" s="12">
        <f>IF(B70&lt;='Parameters &amp; Formulas'!$B$36,"Pre-breakpoint (20 log)","Post-breakpoint (40 log)")</f>
        <v/>
      </c>
    </row>
    <row r="71">
      <c r="A71" s="10" t="n">
        <v>20.17638190954774</v>
      </c>
      <c r="B71" s="11">
        <f>'Parameters &amp; Formulas'!$B$32-(A71+'Parameters &amp; Formulas'!$B$29+'Parameters &amp; Formulas'!$B$17+'Parameters &amp; Formulas'!$B$18)</f>
        <v/>
      </c>
      <c r="C71" s="10">
        <f>IF(B71&lt;='Parameters &amp; Formulas'!$B$36,POWER(10,(B71-'Parameters &amp; Formulas'!$B$35)/20),POWER(10,(B71-'Parameters &amp; Formulas'!$B$35+20*LOG10('Parameters &amp; Formulas'!$B$34))/40))</f>
        <v/>
      </c>
      <c r="D71" s="11">
        <f>C71/1000</f>
        <v/>
      </c>
      <c r="E71" s="12">
        <f>IF(B71&lt;='Parameters &amp; Formulas'!$B$36,"Pre-breakpoint (20 log)","Post-breakpoint (40 log)")</f>
        <v/>
      </c>
    </row>
    <row r="72">
      <c r="A72" s="10" t="n">
        <v>20.00502512562814</v>
      </c>
      <c r="B72" s="11">
        <f>'Parameters &amp; Formulas'!$B$32-(A72+'Parameters &amp; Formulas'!$B$29+'Parameters &amp; Formulas'!$B$17+'Parameters &amp; Formulas'!$B$18)</f>
        <v/>
      </c>
      <c r="C72" s="10">
        <f>IF(B72&lt;='Parameters &amp; Formulas'!$B$36,POWER(10,(B72-'Parameters &amp; Formulas'!$B$35)/20),POWER(10,(B72-'Parameters &amp; Formulas'!$B$35+20*LOG10('Parameters &amp; Formulas'!$B$34))/40))</f>
        <v/>
      </c>
      <c r="D72" s="11">
        <f>C72/1000</f>
        <v/>
      </c>
      <c r="E72" s="12">
        <f>IF(B72&lt;='Parameters &amp; Formulas'!$B$36,"Pre-breakpoint (20 log)","Post-breakpoint (40 log)")</f>
        <v/>
      </c>
    </row>
    <row r="73">
      <c r="A73" s="10" t="n">
        <v>19.83366834170854</v>
      </c>
      <c r="B73" s="11">
        <f>'Parameters &amp; Formulas'!$B$32-(A73+'Parameters &amp; Formulas'!$B$29+'Parameters &amp; Formulas'!$B$17+'Parameters &amp; Formulas'!$B$18)</f>
        <v/>
      </c>
      <c r="C73" s="10">
        <f>IF(B73&lt;='Parameters &amp; Formulas'!$B$36,POWER(10,(B73-'Parameters &amp; Formulas'!$B$35)/20),POWER(10,(B73-'Parameters &amp; Formulas'!$B$35+20*LOG10('Parameters &amp; Formulas'!$B$34))/40))</f>
        <v/>
      </c>
      <c r="D73" s="11">
        <f>C73/1000</f>
        <v/>
      </c>
      <c r="E73" s="12">
        <f>IF(B73&lt;='Parameters &amp; Formulas'!$B$36,"Pre-breakpoint (20 log)","Post-breakpoint (40 log)")</f>
        <v/>
      </c>
    </row>
    <row r="74">
      <c r="A74" s="10" t="n">
        <v>19.66231155778895</v>
      </c>
      <c r="B74" s="11">
        <f>'Parameters &amp; Formulas'!$B$32-(A74+'Parameters &amp; Formulas'!$B$29+'Parameters &amp; Formulas'!$B$17+'Parameters &amp; Formulas'!$B$18)</f>
        <v/>
      </c>
      <c r="C74" s="10">
        <f>IF(B74&lt;='Parameters &amp; Formulas'!$B$36,POWER(10,(B74-'Parameters &amp; Formulas'!$B$35)/20),POWER(10,(B74-'Parameters &amp; Formulas'!$B$35+20*LOG10('Parameters &amp; Formulas'!$B$34))/40))</f>
        <v/>
      </c>
      <c r="D74" s="11">
        <f>C74/1000</f>
        <v/>
      </c>
      <c r="E74" s="12">
        <f>IF(B74&lt;='Parameters &amp; Formulas'!$B$36,"Pre-breakpoint (20 log)","Post-breakpoint (40 log)")</f>
        <v/>
      </c>
    </row>
    <row r="75">
      <c r="A75" s="10" t="n">
        <v>19.49095477386935</v>
      </c>
      <c r="B75" s="11">
        <f>'Parameters &amp; Formulas'!$B$32-(A75+'Parameters &amp; Formulas'!$B$29+'Parameters &amp; Formulas'!$B$17+'Parameters &amp; Formulas'!$B$18)</f>
        <v/>
      </c>
      <c r="C75" s="10">
        <f>IF(B75&lt;='Parameters &amp; Formulas'!$B$36,POWER(10,(B75-'Parameters &amp; Formulas'!$B$35)/20),POWER(10,(B75-'Parameters &amp; Formulas'!$B$35+20*LOG10('Parameters &amp; Formulas'!$B$34))/40))</f>
        <v/>
      </c>
      <c r="D75" s="11">
        <f>C75/1000</f>
        <v/>
      </c>
      <c r="E75" s="12">
        <f>IF(B75&lt;='Parameters &amp; Formulas'!$B$36,"Pre-breakpoint (20 log)","Post-breakpoint (40 log)")</f>
        <v/>
      </c>
    </row>
    <row r="76">
      <c r="A76" s="10" t="n">
        <v>19.31959798994975</v>
      </c>
      <c r="B76" s="11">
        <f>'Parameters &amp; Formulas'!$B$32-(A76+'Parameters &amp; Formulas'!$B$29+'Parameters &amp; Formulas'!$B$17+'Parameters &amp; Formulas'!$B$18)</f>
        <v/>
      </c>
      <c r="C76" s="10">
        <f>IF(B76&lt;='Parameters &amp; Formulas'!$B$36,POWER(10,(B76-'Parameters &amp; Formulas'!$B$35)/20),POWER(10,(B76-'Parameters &amp; Formulas'!$B$35+20*LOG10('Parameters &amp; Formulas'!$B$34))/40))</f>
        <v/>
      </c>
      <c r="D76" s="11">
        <f>C76/1000</f>
        <v/>
      </c>
      <c r="E76" s="12">
        <f>IF(B76&lt;='Parameters &amp; Formulas'!$B$36,"Pre-breakpoint (20 log)","Post-breakpoint (40 log)")</f>
        <v/>
      </c>
    </row>
    <row r="77">
      <c r="A77" s="10" t="n">
        <v>19.14824120603015</v>
      </c>
      <c r="B77" s="11">
        <f>'Parameters &amp; Formulas'!$B$32-(A77+'Parameters &amp; Formulas'!$B$29+'Parameters &amp; Formulas'!$B$17+'Parameters &amp; Formulas'!$B$18)</f>
        <v/>
      </c>
      <c r="C77" s="10">
        <f>IF(B77&lt;='Parameters &amp; Formulas'!$B$36,POWER(10,(B77-'Parameters &amp; Formulas'!$B$35)/20),POWER(10,(B77-'Parameters &amp; Formulas'!$B$35+20*LOG10('Parameters &amp; Formulas'!$B$34))/40))</f>
        <v/>
      </c>
      <c r="D77" s="11">
        <f>C77/1000</f>
        <v/>
      </c>
      <c r="E77" s="12">
        <f>IF(B77&lt;='Parameters &amp; Formulas'!$B$36,"Pre-breakpoint (20 log)","Post-breakpoint (40 log)")</f>
        <v/>
      </c>
    </row>
    <row r="78">
      <c r="A78" s="10" t="n">
        <v>18.97688442211055</v>
      </c>
      <c r="B78" s="11">
        <f>'Parameters &amp; Formulas'!$B$32-(A78+'Parameters &amp; Formulas'!$B$29+'Parameters &amp; Formulas'!$B$17+'Parameters &amp; Formulas'!$B$18)</f>
        <v/>
      </c>
      <c r="C78" s="10">
        <f>IF(B78&lt;='Parameters &amp; Formulas'!$B$36,POWER(10,(B78-'Parameters &amp; Formulas'!$B$35)/20),POWER(10,(B78-'Parameters &amp; Formulas'!$B$35+20*LOG10('Parameters &amp; Formulas'!$B$34))/40))</f>
        <v/>
      </c>
      <c r="D78" s="11">
        <f>C78/1000</f>
        <v/>
      </c>
      <c r="E78" s="12">
        <f>IF(B78&lt;='Parameters &amp; Formulas'!$B$36,"Pre-breakpoint (20 log)","Post-breakpoint (40 log)")</f>
        <v/>
      </c>
    </row>
    <row r="79">
      <c r="A79" s="10" t="n">
        <v>18.80552763819095</v>
      </c>
      <c r="B79" s="11">
        <f>'Parameters &amp; Formulas'!$B$32-(A79+'Parameters &amp; Formulas'!$B$29+'Parameters &amp; Formulas'!$B$17+'Parameters &amp; Formulas'!$B$18)</f>
        <v/>
      </c>
      <c r="C79" s="10">
        <f>IF(B79&lt;='Parameters &amp; Formulas'!$B$36,POWER(10,(B79-'Parameters &amp; Formulas'!$B$35)/20),POWER(10,(B79-'Parameters &amp; Formulas'!$B$35+20*LOG10('Parameters &amp; Formulas'!$B$34))/40))</f>
        <v/>
      </c>
      <c r="D79" s="11">
        <f>C79/1000</f>
        <v/>
      </c>
      <c r="E79" s="12">
        <f>IF(B79&lt;='Parameters &amp; Formulas'!$B$36,"Pre-breakpoint (20 log)","Post-breakpoint (40 log)")</f>
        <v/>
      </c>
    </row>
    <row r="80">
      <c r="A80" s="10" t="n">
        <v>18.63417085427136</v>
      </c>
      <c r="B80" s="11">
        <f>'Parameters &amp; Formulas'!$B$32-(A80+'Parameters &amp; Formulas'!$B$29+'Parameters &amp; Formulas'!$B$17+'Parameters &amp; Formulas'!$B$18)</f>
        <v/>
      </c>
      <c r="C80" s="10">
        <f>IF(B80&lt;='Parameters &amp; Formulas'!$B$36,POWER(10,(B80-'Parameters &amp; Formulas'!$B$35)/20),POWER(10,(B80-'Parameters &amp; Formulas'!$B$35+20*LOG10('Parameters &amp; Formulas'!$B$34))/40))</f>
        <v/>
      </c>
      <c r="D80" s="11">
        <f>C80/1000</f>
        <v/>
      </c>
      <c r="E80" s="12">
        <f>IF(B80&lt;='Parameters &amp; Formulas'!$B$36,"Pre-breakpoint (20 log)","Post-breakpoint (40 log)")</f>
        <v/>
      </c>
    </row>
    <row r="81">
      <c r="A81" s="10" t="n">
        <v>18.46281407035176</v>
      </c>
      <c r="B81" s="11">
        <f>'Parameters &amp; Formulas'!$B$32-(A81+'Parameters &amp; Formulas'!$B$29+'Parameters &amp; Formulas'!$B$17+'Parameters &amp; Formulas'!$B$18)</f>
        <v/>
      </c>
      <c r="C81" s="10">
        <f>IF(B81&lt;='Parameters &amp; Formulas'!$B$36,POWER(10,(B81-'Parameters &amp; Formulas'!$B$35)/20),POWER(10,(B81-'Parameters &amp; Formulas'!$B$35+20*LOG10('Parameters &amp; Formulas'!$B$34))/40))</f>
        <v/>
      </c>
      <c r="D81" s="11">
        <f>C81/1000</f>
        <v/>
      </c>
      <c r="E81" s="12">
        <f>IF(B81&lt;='Parameters &amp; Formulas'!$B$36,"Pre-breakpoint (20 log)","Post-breakpoint (40 log)")</f>
        <v/>
      </c>
    </row>
    <row r="82">
      <c r="A82" s="10" t="n">
        <v>18.29145728643216</v>
      </c>
      <c r="B82" s="11">
        <f>'Parameters &amp; Formulas'!$B$32-(A82+'Parameters &amp; Formulas'!$B$29+'Parameters &amp; Formulas'!$B$17+'Parameters &amp; Formulas'!$B$18)</f>
        <v/>
      </c>
      <c r="C82" s="10">
        <f>IF(B82&lt;='Parameters &amp; Formulas'!$B$36,POWER(10,(B82-'Parameters &amp; Formulas'!$B$35)/20),POWER(10,(B82-'Parameters &amp; Formulas'!$B$35+20*LOG10('Parameters &amp; Formulas'!$B$34))/40))</f>
        <v/>
      </c>
      <c r="D82" s="11">
        <f>C82/1000</f>
        <v/>
      </c>
      <c r="E82" s="12">
        <f>IF(B82&lt;='Parameters &amp; Formulas'!$B$36,"Pre-breakpoint (20 log)","Post-breakpoint (40 log)")</f>
        <v/>
      </c>
    </row>
    <row r="83">
      <c r="A83" s="10" t="n">
        <v>18.12010050251256</v>
      </c>
      <c r="B83" s="11">
        <f>'Parameters &amp; Formulas'!$B$32-(A83+'Parameters &amp; Formulas'!$B$29+'Parameters &amp; Formulas'!$B$17+'Parameters &amp; Formulas'!$B$18)</f>
        <v/>
      </c>
      <c r="C83" s="10">
        <f>IF(B83&lt;='Parameters &amp; Formulas'!$B$36,POWER(10,(B83-'Parameters &amp; Formulas'!$B$35)/20),POWER(10,(B83-'Parameters &amp; Formulas'!$B$35+20*LOG10('Parameters &amp; Formulas'!$B$34))/40))</f>
        <v/>
      </c>
      <c r="D83" s="11">
        <f>C83/1000</f>
        <v/>
      </c>
      <c r="E83" s="12">
        <f>IF(B83&lt;='Parameters &amp; Formulas'!$B$36,"Pre-breakpoint (20 log)","Post-breakpoint (40 log)")</f>
        <v/>
      </c>
    </row>
    <row r="84">
      <c r="A84" s="10" t="n">
        <v>17.94874371859297</v>
      </c>
      <c r="B84" s="11">
        <f>'Parameters &amp; Formulas'!$B$32-(A84+'Parameters &amp; Formulas'!$B$29+'Parameters &amp; Formulas'!$B$17+'Parameters &amp; Formulas'!$B$18)</f>
        <v/>
      </c>
      <c r="C84" s="10">
        <f>IF(B84&lt;='Parameters &amp; Formulas'!$B$36,POWER(10,(B84-'Parameters &amp; Formulas'!$B$35)/20),POWER(10,(B84-'Parameters &amp; Formulas'!$B$35+20*LOG10('Parameters &amp; Formulas'!$B$34))/40))</f>
        <v/>
      </c>
      <c r="D84" s="11">
        <f>C84/1000</f>
        <v/>
      </c>
      <c r="E84" s="12">
        <f>IF(B84&lt;='Parameters &amp; Formulas'!$B$36,"Pre-breakpoint (20 log)","Post-breakpoint (40 log)")</f>
        <v/>
      </c>
    </row>
    <row r="85">
      <c r="A85" s="10" t="n">
        <v>17.77738693467337</v>
      </c>
      <c r="B85" s="11">
        <f>'Parameters &amp; Formulas'!$B$32-(A85+'Parameters &amp; Formulas'!$B$29+'Parameters &amp; Formulas'!$B$17+'Parameters &amp; Formulas'!$B$18)</f>
        <v/>
      </c>
      <c r="C85" s="10">
        <f>IF(B85&lt;='Parameters &amp; Formulas'!$B$36,POWER(10,(B85-'Parameters &amp; Formulas'!$B$35)/20),POWER(10,(B85-'Parameters &amp; Formulas'!$B$35+20*LOG10('Parameters &amp; Formulas'!$B$34))/40))</f>
        <v/>
      </c>
      <c r="D85" s="11">
        <f>C85/1000</f>
        <v/>
      </c>
      <c r="E85" s="12">
        <f>IF(B85&lt;='Parameters &amp; Formulas'!$B$36,"Pre-breakpoint (20 log)","Post-breakpoint (40 log)")</f>
        <v/>
      </c>
    </row>
    <row r="86">
      <c r="A86" s="10" t="n">
        <v>17.60603015075377</v>
      </c>
      <c r="B86" s="11">
        <f>'Parameters &amp; Formulas'!$B$32-(A86+'Parameters &amp; Formulas'!$B$29+'Parameters &amp; Formulas'!$B$17+'Parameters &amp; Formulas'!$B$18)</f>
        <v/>
      </c>
      <c r="C86" s="10">
        <f>IF(B86&lt;='Parameters &amp; Formulas'!$B$36,POWER(10,(B86-'Parameters &amp; Formulas'!$B$35)/20),POWER(10,(B86-'Parameters &amp; Formulas'!$B$35+20*LOG10('Parameters &amp; Formulas'!$B$34))/40))</f>
        <v/>
      </c>
      <c r="D86" s="11">
        <f>C86/1000</f>
        <v/>
      </c>
      <c r="E86" s="12">
        <f>IF(B86&lt;='Parameters &amp; Formulas'!$B$36,"Pre-breakpoint (20 log)","Post-breakpoint (40 log)")</f>
        <v/>
      </c>
    </row>
    <row r="87">
      <c r="A87" s="10" t="n">
        <v>17.43467336683417</v>
      </c>
      <c r="B87" s="11">
        <f>'Parameters &amp; Formulas'!$B$32-(A87+'Parameters &amp; Formulas'!$B$29+'Parameters &amp; Formulas'!$B$17+'Parameters &amp; Formulas'!$B$18)</f>
        <v/>
      </c>
      <c r="C87" s="10">
        <f>IF(B87&lt;='Parameters &amp; Formulas'!$B$36,POWER(10,(B87-'Parameters &amp; Formulas'!$B$35)/20),POWER(10,(B87-'Parameters &amp; Formulas'!$B$35+20*LOG10('Parameters &amp; Formulas'!$B$34))/40))</f>
        <v/>
      </c>
      <c r="D87" s="11">
        <f>C87/1000</f>
        <v/>
      </c>
      <c r="E87" s="12">
        <f>IF(B87&lt;='Parameters &amp; Formulas'!$B$36,"Pre-breakpoint (20 log)","Post-breakpoint (40 log)")</f>
        <v/>
      </c>
    </row>
    <row r="88">
      <c r="A88" s="10" t="n">
        <v>17.26331658291457</v>
      </c>
      <c r="B88" s="11">
        <f>'Parameters &amp; Formulas'!$B$32-(A88+'Parameters &amp; Formulas'!$B$29+'Parameters &amp; Formulas'!$B$17+'Parameters &amp; Formulas'!$B$18)</f>
        <v/>
      </c>
      <c r="C88" s="10">
        <f>IF(B88&lt;='Parameters &amp; Formulas'!$B$36,POWER(10,(B88-'Parameters &amp; Formulas'!$B$35)/20),POWER(10,(B88-'Parameters &amp; Formulas'!$B$35+20*LOG10('Parameters &amp; Formulas'!$B$34))/40))</f>
        <v/>
      </c>
      <c r="D88" s="11">
        <f>C88/1000</f>
        <v/>
      </c>
      <c r="E88" s="12">
        <f>IF(B88&lt;='Parameters &amp; Formulas'!$B$36,"Pre-breakpoint (20 log)","Post-breakpoint (40 log)")</f>
        <v/>
      </c>
    </row>
    <row r="89">
      <c r="A89" s="10" t="n">
        <v>17.09195979899497</v>
      </c>
      <c r="B89" s="11">
        <f>'Parameters &amp; Formulas'!$B$32-(A89+'Parameters &amp; Formulas'!$B$29+'Parameters &amp; Formulas'!$B$17+'Parameters &amp; Formulas'!$B$18)</f>
        <v/>
      </c>
      <c r="C89" s="10">
        <f>IF(B89&lt;='Parameters &amp; Formulas'!$B$36,POWER(10,(B89-'Parameters &amp; Formulas'!$B$35)/20),POWER(10,(B89-'Parameters &amp; Formulas'!$B$35+20*LOG10('Parameters &amp; Formulas'!$B$34))/40))</f>
        <v/>
      </c>
      <c r="D89" s="11">
        <f>C89/1000</f>
        <v/>
      </c>
      <c r="E89" s="12">
        <f>IF(B89&lt;='Parameters &amp; Formulas'!$B$36,"Pre-breakpoint (20 log)","Post-breakpoint (40 log)")</f>
        <v/>
      </c>
    </row>
    <row r="90">
      <c r="A90" s="10" t="n">
        <v>16.92060301507538</v>
      </c>
      <c r="B90" s="11">
        <f>'Parameters &amp; Formulas'!$B$32-(A90+'Parameters &amp; Formulas'!$B$29+'Parameters &amp; Formulas'!$B$17+'Parameters &amp; Formulas'!$B$18)</f>
        <v/>
      </c>
      <c r="C90" s="10">
        <f>IF(B90&lt;='Parameters &amp; Formulas'!$B$36,POWER(10,(B90-'Parameters &amp; Formulas'!$B$35)/20),POWER(10,(B90-'Parameters &amp; Formulas'!$B$35+20*LOG10('Parameters &amp; Formulas'!$B$34))/40))</f>
        <v/>
      </c>
      <c r="D90" s="11">
        <f>C90/1000</f>
        <v/>
      </c>
      <c r="E90" s="12">
        <f>IF(B90&lt;='Parameters &amp; Formulas'!$B$36,"Pre-breakpoint (20 log)","Post-breakpoint (40 log)")</f>
        <v/>
      </c>
    </row>
    <row r="91">
      <c r="A91" s="10" t="n">
        <v>16.74924623115578</v>
      </c>
      <c r="B91" s="11">
        <f>'Parameters &amp; Formulas'!$B$32-(A91+'Parameters &amp; Formulas'!$B$29+'Parameters &amp; Formulas'!$B$17+'Parameters &amp; Formulas'!$B$18)</f>
        <v/>
      </c>
      <c r="C91" s="10">
        <f>IF(B91&lt;='Parameters &amp; Formulas'!$B$36,POWER(10,(B91-'Parameters &amp; Formulas'!$B$35)/20),POWER(10,(B91-'Parameters &amp; Formulas'!$B$35+20*LOG10('Parameters &amp; Formulas'!$B$34))/40))</f>
        <v/>
      </c>
      <c r="D91" s="11">
        <f>C91/1000</f>
        <v/>
      </c>
      <c r="E91" s="12">
        <f>IF(B91&lt;='Parameters &amp; Formulas'!$B$36,"Pre-breakpoint (20 log)","Post-breakpoint (40 log)")</f>
        <v/>
      </c>
    </row>
    <row r="92">
      <c r="A92" s="10" t="n">
        <v>16.57788944723618</v>
      </c>
      <c r="B92" s="11">
        <f>'Parameters &amp; Formulas'!$B$32-(A92+'Parameters &amp; Formulas'!$B$29+'Parameters &amp; Formulas'!$B$17+'Parameters &amp; Formulas'!$B$18)</f>
        <v/>
      </c>
      <c r="C92" s="10">
        <f>IF(B92&lt;='Parameters &amp; Formulas'!$B$36,POWER(10,(B92-'Parameters &amp; Formulas'!$B$35)/20),POWER(10,(B92-'Parameters &amp; Formulas'!$B$35+20*LOG10('Parameters &amp; Formulas'!$B$34))/40))</f>
        <v/>
      </c>
      <c r="D92" s="11">
        <f>C92/1000</f>
        <v/>
      </c>
      <c r="E92" s="12">
        <f>IF(B92&lt;='Parameters &amp; Formulas'!$B$36,"Pre-breakpoint (20 log)","Post-breakpoint (40 log)")</f>
        <v/>
      </c>
    </row>
    <row r="93">
      <c r="A93" s="10" t="n">
        <v>16.40653266331658</v>
      </c>
      <c r="B93" s="11">
        <f>'Parameters &amp; Formulas'!$B$32-(A93+'Parameters &amp; Formulas'!$B$29+'Parameters &amp; Formulas'!$B$17+'Parameters &amp; Formulas'!$B$18)</f>
        <v/>
      </c>
      <c r="C93" s="10">
        <f>IF(B93&lt;='Parameters &amp; Formulas'!$B$36,POWER(10,(B93-'Parameters &amp; Formulas'!$B$35)/20),POWER(10,(B93-'Parameters &amp; Formulas'!$B$35+20*LOG10('Parameters &amp; Formulas'!$B$34))/40))</f>
        <v/>
      </c>
      <c r="D93" s="11">
        <f>C93/1000</f>
        <v/>
      </c>
      <c r="E93" s="12">
        <f>IF(B93&lt;='Parameters &amp; Formulas'!$B$36,"Pre-breakpoint (20 log)","Post-breakpoint (40 log)")</f>
        <v/>
      </c>
    </row>
    <row r="94">
      <c r="A94" s="10" t="n">
        <v>16.23517587939698</v>
      </c>
      <c r="B94" s="11">
        <f>'Parameters &amp; Formulas'!$B$32-(A94+'Parameters &amp; Formulas'!$B$29+'Parameters &amp; Formulas'!$B$17+'Parameters &amp; Formulas'!$B$18)</f>
        <v/>
      </c>
      <c r="C94" s="10">
        <f>IF(B94&lt;='Parameters &amp; Formulas'!$B$36,POWER(10,(B94-'Parameters &amp; Formulas'!$B$35)/20),POWER(10,(B94-'Parameters &amp; Formulas'!$B$35+20*LOG10('Parameters &amp; Formulas'!$B$34))/40))</f>
        <v/>
      </c>
      <c r="D94" s="11">
        <f>C94/1000</f>
        <v/>
      </c>
      <c r="E94" s="12">
        <f>IF(B94&lt;='Parameters &amp; Formulas'!$B$36,"Pre-breakpoint (20 log)","Post-breakpoint (40 log)")</f>
        <v/>
      </c>
    </row>
    <row r="95">
      <c r="A95" s="10" t="n">
        <v>16.06381909547738</v>
      </c>
      <c r="B95" s="11">
        <f>'Parameters &amp; Formulas'!$B$32-(A95+'Parameters &amp; Formulas'!$B$29+'Parameters &amp; Formulas'!$B$17+'Parameters &amp; Formulas'!$B$18)</f>
        <v/>
      </c>
      <c r="C95" s="10">
        <f>IF(B95&lt;='Parameters &amp; Formulas'!$B$36,POWER(10,(B95-'Parameters &amp; Formulas'!$B$35)/20),POWER(10,(B95-'Parameters &amp; Formulas'!$B$35+20*LOG10('Parameters &amp; Formulas'!$B$34))/40))</f>
        <v/>
      </c>
      <c r="D95" s="11">
        <f>C95/1000</f>
        <v/>
      </c>
      <c r="E95" s="12">
        <f>IF(B95&lt;='Parameters &amp; Formulas'!$B$36,"Pre-breakpoint (20 log)","Post-breakpoint (40 log)")</f>
        <v/>
      </c>
    </row>
    <row r="96">
      <c r="A96" s="10" t="n">
        <v>15.89246231155779</v>
      </c>
      <c r="B96" s="11">
        <f>'Parameters &amp; Formulas'!$B$32-(A96+'Parameters &amp; Formulas'!$B$29+'Parameters &amp; Formulas'!$B$17+'Parameters &amp; Formulas'!$B$18)</f>
        <v/>
      </c>
      <c r="C96" s="10">
        <f>IF(B96&lt;='Parameters &amp; Formulas'!$B$36,POWER(10,(B96-'Parameters &amp; Formulas'!$B$35)/20),POWER(10,(B96-'Parameters &amp; Formulas'!$B$35+20*LOG10('Parameters &amp; Formulas'!$B$34))/40))</f>
        <v/>
      </c>
      <c r="D96" s="11">
        <f>C96/1000</f>
        <v/>
      </c>
      <c r="E96" s="12">
        <f>IF(B96&lt;='Parameters &amp; Formulas'!$B$36,"Pre-breakpoint (20 log)","Post-breakpoint (40 log)")</f>
        <v/>
      </c>
    </row>
    <row r="97">
      <c r="A97" s="10" t="n">
        <v>15.72110552763819</v>
      </c>
      <c r="B97" s="11">
        <f>'Parameters &amp; Formulas'!$B$32-(A97+'Parameters &amp; Formulas'!$B$29+'Parameters &amp; Formulas'!$B$17+'Parameters &amp; Formulas'!$B$18)</f>
        <v/>
      </c>
      <c r="C97" s="10">
        <f>IF(B97&lt;='Parameters &amp; Formulas'!$B$36,POWER(10,(B97-'Parameters &amp; Formulas'!$B$35)/20),POWER(10,(B97-'Parameters &amp; Formulas'!$B$35+20*LOG10('Parameters &amp; Formulas'!$B$34))/40))</f>
        <v/>
      </c>
      <c r="D97" s="11">
        <f>C97/1000</f>
        <v/>
      </c>
      <c r="E97" s="12">
        <f>IF(B97&lt;='Parameters &amp; Formulas'!$B$36,"Pre-breakpoint (20 log)","Post-breakpoint (40 log)")</f>
        <v/>
      </c>
    </row>
    <row r="98">
      <c r="A98" s="10" t="n">
        <v>15.54974874371859</v>
      </c>
      <c r="B98" s="11">
        <f>'Parameters &amp; Formulas'!$B$32-(A98+'Parameters &amp; Formulas'!$B$29+'Parameters &amp; Formulas'!$B$17+'Parameters &amp; Formulas'!$B$18)</f>
        <v/>
      </c>
      <c r="C98" s="10">
        <f>IF(B98&lt;='Parameters &amp; Formulas'!$B$36,POWER(10,(B98-'Parameters &amp; Formulas'!$B$35)/20),POWER(10,(B98-'Parameters &amp; Formulas'!$B$35+20*LOG10('Parameters &amp; Formulas'!$B$34))/40))</f>
        <v/>
      </c>
      <c r="D98" s="11">
        <f>C98/1000</f>
        <v/>
      </c>
      <c r="E98" s="12">
        <f>IF(B98&lt;='Parameters &amp; Formulas'!$B$36,"Pre-breakpoint (20 log)","Post-breakpoint (40 log)")</f>
        <v/>
      </c>
    </row>
    <row r="99">
      <c r="A99" s="10" t="n">
        <v>15.37839195979899</v>
      </c>
      <c r="B99" s="11">
        <f>'Parameters &amp; Formulas'!$B$32-(A99+'Parameters &amp; Formulas'!$B$29+'Parameters &amp; Formulas'!$B$17+'Parameters &amp; Formulas'!$B$18)</f>
        <v/>
      </c>
      <c r="C99" s="10">
        <f>IF(B99&lt;='Parameters &amp; Formulas'!$B$36,POWER(10,(B99-'Parameters &amp; Formulas'!$B$35)/20),POWER(10,(B99-'Parameters &amp; Formulas'!$B$35+20*LOG10('Parameters &amp; Formulas'!$B$34))/40))</f>
        <v/>
      </c>
      <c r="D99" s="11">
        <f>C99/1000</f>
        <v/>
      </c>
      <c r="E99" s="12">
        <f>IF(B99&lt;='Parameters &amp; Formulas'!$B$36,"Pre-breakpoint (20 log)","Post-breakpoint (40 log)")</f>
        <v/>
      </c>
    </row>
    <row r="100">
      <c r="A100" s="10" t="n">
        <v>15.2070351758794</v>
      </c>
      <c r="B100" s="11">
        <f>'Parameters &amp; Formulas'!$B$32-(A100+'Parameters &amp; Formulas'!$B$29+'Parameters &amp; Formulas'!$B$17+'Parameters &amp; Formulas'!$B$18)</f>
        <v/>
      </c>
      <c r="C100" s="10">
        <f>IF(B100&lt;='Parameters &amp; Formulas'!$B$36,POWER(10,(B100-'Parameters &amp; Formulas'!$B$35)/20),POWER(10,(B100-'Parameters &amp; Formulas'!$B$35+20*LOG10('Parameters &amp; Formulas'!$B$34))/40))</f>
        <v/>
      </c>
      <c r="D100" s="11">
        <f>C100/1000</f>
        <v/>
      </c>
      <c r="E100" s="12">
        <f>IF(B100&lt;='Parameters &amp; Formulas'!$B$36,"Pre-breakpoint (20 log)","Post-breakpoint (40 log)")</f>
        <v/>
      </c>
    </row>
    <row r="101">
      <c r="A101" s="10" t="n">
        <v>15.0356783919598</v>
      </c>
      <c r="B101" s="11">
        <f>'Parameters &amp; Formulas'!$B$32-(A101+'Parameters &amp; Formulas'!$B$29+'Parameters &amp; Formulas'!$B$17+'Parameters &amp; Formulas'!$B$18)</f>
        <v/>
      </c>
      <c r="C101" s="10">
        <f>IF(B101&lt;='Parameters &amp; Formulas'!$B$36,POWER(10,(B101-'Parameters &amp; Formulas'!$B$35)/20),POWER(10,(B101-'Parameters &amp; Formulas'!$B$35+20*LOG10('Parameters &amp; Formulas'!$B$34))/40))</f>
        <v/>
      </c>
      <c r="D101" s="11">
        <f>C101/1000</f>
        <v/>
      </c>
      <c r="E101" s="12">
        <f>IF(B101&lt;='Parameters &amp; Formulas'!$B$36,"Pre-breakpoint (20 log)","Post-breakpoint (40 log)")</f>
        <v/>
      </c>
    </row>
    <row r="102">
      <c r="A102" s="10" t="n">
        <v>14.8643216080402</v>
      </c>
      <c r="B102" s="11">
        <f>'Parameters &amp; Formulas'!$B$32-(A102+'Parameters &amp; Formulas'!$B$29+'Parameters &amp; Formulas'!$B$17+'Parameters &amp; Formulas'!$B$18)</f>
        <v/>
      </c>
      <c r="C102" s="10">
        <f>IF(B102&lt;='Parameters &amp; Formulas'!$B$36,POWER(10,(B102-'Parameters &amp; Formulas'!$B$35)/20),POWER(10,(B102-'Parameters &amp; Formulas'!$B$35+20*LOG10('Parameters &amp; Formulas'!$B$34))/40))</f>
        <v/>
      </c>
      <c r="D102" s="11">
        <f>C102/1000</f>
        <v/>
      </c>
      <c r="E102" s="12">
        <f>IF(B102&lt;='Parameters &amp; Formulas'!$B$36,"Pre-breakpoint (20 log)","Post-breakpoint (40 log)")</f>
        <v/>
      </c>
    </row>
    <row r="103">
      <c r="A103" s="10" t="n">
        <v>14.6929648241206</v>
      </c>
      <c r="B103" s="11">
        <f>'Parameters &amp; Formulas'!$B$32-(A103+'Parameters &amp; Formulas'!$B$29+'Parameters &amp; Formulas'!$B$17+'Parameters &amp; Formulas'!$B$18)</f>
        <v/>
      </c>
      <c r="C103" s="10">
        <f>IF(B103&lt;='Parameters &amp; Formulas'!$B$36,POWER(10,(B103-'Parameters &amp; Formulas'!$B$35)/20),POWER(10,(B103-'Parameters &amp; Formulas'!$B$35+20*LOG10('Parameters &amp; Formulas'!$B$34))/40))</f>
        <v/>
      </c>
      <c r="D103" s="11">
        <f>C103/1000</f>
        <v/>
      </c>
      <c r="E103" s="12">
        <f>IF(B103&lt;='Parameters &amp; Formulas'!$B$36,"Pre-breakpoint (20 log)","Post-breakpoint (40 log)")</f>
        <v/>
      </c>
    </row>
    <row r="104">
      <c r="A104" s="10" t="n">
        <v>14.52160804020101</v>
      </c>
      <c r="B104" s="11">
        <f>'Parameters &amp; Formulas'!$B$32-(A104+'Parameters &amp; Formulas'!$B$29+'Parameters &amp; Formulas'!$B$17+'Parameters &amp; Formulas'!$B$18)</f>
        <v/>
      </c>
      <c r="C104" s="10">
        <f>IF(B104&lt;='Parameters &amp; Formulas'!$B$36,POWER(10,(B104-'Parameters &amp; Formulas'!$B$35)/20),POWER(10,(B104-'Parameters &amp; Formulas'!$B$35+20*LOG10('Parameters &amp; Formulas'!$B$34))/40))</f>
        <v/>
      </c>
      <c r="D104" s="11">
        <f>C104/1000</f>
        <v/>
      </c>
      <c r="E104" s="12">
        <f>IF(B104&lt;='Parameters &amp; Formulas'!$B$36,"Pre-breakpoint (20 log)","Post-breakpoint (40 log)")</f>
        <v/>
      </c>
    </row>
    <row r="105">
      <c r="A105" s="10" t="n">
        <v>14.35025125628141</v>
      </c>
      <c r="B105" s="11">
        <f>'Parameters &amp; Formulas'!$B$32-(A105+'Parameters &amp; Formulas'!$B$29+'Parameters &amp; Formulas'!$B$17+'Parameters &amp; Formulas'!$B$18)</f>
        <v/>
      </c>
      <c r="C105" s="10">
        <f>IF(B105&lt;='Parameters &amp; Formulas'!$B$36,POWER(10,(B105-'Parameters &amp; Formulas'!$B$35)/20),POWER(10,(B105-'Parameters &amp; Formulas'!$B$35+20*LOG10('Parameters &amp; Formulas'!$B$34))/40))</f>
        <v/>
      </c>
      <c r="D105" s="11">
        <f>C105/1000</f>
        <v/>
      </c>
      <c r="E105" s="12">
        <f>IF(B105&lt;='Parameters &amp; Formulas'!$B$36,"Pre-breakpoint (20 log)","Post-breakpoint (40 log)")</f>
        <v/>
      </c>
    </row>
    <row r="106">
      <c r="A106" s="10" t="n">
        <v>14.17889447236181</v>
      </c>
      <c r="B106" s="11">
        <f>'Parameters &amp; Formulas'!$B$32-(A106+'Parameters &amp; Formulas'!$B$29+'Parameters &amp; Formulas'!$B$17+'Parameters &amp; Formulas'!$B$18)</f>
        <v/>
      </c>
      <c r="C106" s="10">
        <f>IF(B106&lt;='Parameters &amp; Formulas'!$B$36,POWER(10,(B106-'Parameters &amp; Formulas'!$B$35)/20),POWER(10,(B106-'Parameters &amp; Formulas'!$B$35+20*LOG10('Parameters &amp; Formulas'!$B$34))/40))</f>
        <v/>
      </c>
      <c r="D106" s="11">
        <f>C106/1000</f>
        <v/>
      </c>
      <c r="E106" s="12">
        <f>IF(B106&lt;='Parameters &amp; Formulas'!$B$36,"Pre-breakpoint (20 log)","Post-breakpoint (40 log)")</f>
        <v/>
      </c>
    </row>
    <row r="107">
      <c r="A107" s="10" t="n">
        <v>14.00753768844221</v>
      </c>
      <c r="B107" s="11">
        <f>'Parameters &amp; Formulas'!$B$32-(A107+'Parameters &amp; Formulas'!$B$29+'Parameters &amp; Formulas'!$B$17+'Parameters &amp; Formulas'!$B$18)</f>
        <v/>
      </c>
      <c r="C107" s="10">
        <f>IF(B107&lt;='Parameters &amp; Formulas'!$B$36,POWER(10,(B107-'Parameters &amp; Formulas'!$B$35)/20),POWER(10,(B107-'Parameters &amp; Formulas'!$B$35+20*LOG10('Parameters &amp; Formulas'!$B$34))/40))</f>
        <v/>
      </c>
      <c r="D107" s="11">
        <f>C107/1000</f>
        <v/>
      </c>
      <c r="E107" s="12">
        <f>IF(B107&lt;='Parameters &amp; Formulas'!$B$36,"Pre-breakpoint (20 log)","Post-breakpoint (40 log)")</f>
        <v/>
      </c>
    </row>
    <row r="108">
      <c r="A108" s="10" t="n">
        <v>13.83618090452261</v>
      </c>
      <c r="B108" s="11">
        <f>'Parameters &amp; Formulas'!$B$32-(A108+'Parameters &amp; Formulas'!$B$29+'Parameters &amp; Formulas'!$B$17+'Parameters &amp; Formulas'!$B$18)</f>
        <v/>
      </c>
      <c r="C108" s="10">
        <f>IF(B108&lt;='Parameters &amp; Formulas'!$B$36,POWER(10,(B108-'Parameters &amp; Formulas'!$B$35)/20),POWER(10,(B108-'Parameters &amp; Formulas'!$B$35+20*LOG10('Parameters &amp; Formulas'!$B$34))/40))</f>
        <v/>
      </c>
      <c r="D108" s="11">
        <f>C108/1000</f>
        <v/>
      </c>
      <c r="E108" s="12">
        <f>IF(B108&lt;='Parameters &amp; Formulas'!$B$36,"Pre-breakpoint (20 log)","Post-breakpoint (40 log)")</f>
        <v/>
      </c>
    </row>
    <row r="109">
      <c r="A109" s="10" t="n">
        <v>13.66482412060301</v>
      </c>
      <c r="B109" s="11">
        <f>'Parameters &amp; Formulas'!$B$32-(A109+'Parameters &amp; Formulas'!$B$29+'Parameters &amp; Formulas'!$B$17+'Parameters &amp; Formulas'!$B$18)</f>
        <v/>
      </c>
      <c r="C109" s="10">
        <f>IF(B109&lt;='Parameters &amp; Formulas'!$B$36,POWER(10,(B109-'Parameters &amp; Formulas'!$B$35)/20),POWER(10,(B109-'Parameters &amp; Formulas'!$B$35+20*LOG10('Parameters &amp; Formulas'!$B$34))/40))</f>
        <v/>
      </c>
      <c r="D109" s="11">
        <f>C109/1000</f>
        <v/>
      </c>
      <c r="E109" s="12">
        <f>IF(B109&lt;='Parameters &amp; Formulas'!$B$36,"Pre-breakpoint (20 log)","Post-breakpoint (40 log)")</f>
        <v/>
      </c>
    </row>
    <row r="110">
      <c r="A110" s="10" t="n">
        <v>13.49346733668342</v>
      </c>
      <c r="B110" s="11">
        <f>'Parameters &amp; Formulas'!$B$32-(A110+'Parameters &amp; Formulas'!$B$29+'Parameters &amp; Formulas'!$B$17+'Parameters &amp; Formulas'!$B$18)</f>
        <v/>
      </c>
      <c r="C110" s="10">
        <f>IF(B110&lt;='Parameters &amp; Formulas'!$B$36,POWER(10,(B110-'Parameters &amp; Formulas'!$B$35)/20),POWER(10,(B110-'Parameters &amp; Formulas'!$B$35+20*LOG10('Parameters &amp; Formulas'!$B$34))/40))</f>
        <v/>
      </c>
      <c r="D110" s="11">
        <f>C110/1000</f>
        <v/>
      </c>
      <c r="E110" s="12">
        <f>IF(B110&lt;='Parameters &amp; Formulas'!$B$36,"Pre-breakpoint (20 log)","Post-breakpoint (40 log)")</f>
        <v/>
      </c>
    </row>
    <row r="111">
      <c r="A111" s="10" t="n">
        <v>13.32211055276382</v>
      </c>
      <c r="B111" s="11">
        <f>'Parameters &amp; Formulas'!$B$32-(A111+'Parameters &amp; Formulas'!$B$29+'Parameters &amp; Formulas'!$B$17+'Parameters &amp; Formulas'!$B$18)</f>
        <v/>
      </c>
      <c r="C111" s="10">
        <f>IF(B111&lt;='Parameters &amp; Formulas'!$B$36,POWER(10,(B111-'Parameters &amp; Formulas'!$B$35)/20),POWER(10,(B111-'Parameters &amp; Formulas'!$B$35+20*LOG10('Parameters &amp; Formulas'!$B$34))/40))</f>
        <v/>
      </c>
      <c r="D111" s="11">
        <f>C111/1000</f>
        <v/>
      </c>
      <c r="E111" s="12">
        <f>IF(B111&lt;='Parameters &amp; Formulas'!$B$36,"Pre-breakpoint (20 log)","Post-breakpoint (40 log)")</f>
        <v/>
      </c>
    </row>
    <row r="112">
      <c r="A112" s="10" t="n">
        <v>13.15075376884422</v>
      </c>
      <c r="B112" s="11">
        <f>'Parameters &amp; Formulas'!$B$32-(A112+'Parameters &amp; Formulas'!$B$29+'Parameters &amp; Formulas'!$B$17+'Parameters &amp; Formulas'!$B$18)</f>
        <v/>
      </c>
      <c r="C112" s="10">
        <f>IF(B112&lt;='Parameters &amp; Formulas'!$B$36,POWER(10,(B112-'Parameters &amp; Formulas'!$B$35)/20),POWER(10,(B112-'Parameters &amp; Formulas'!$B$35+20*LOG10('Parameters &amp; Formulas'!$B$34))/40))</f>
        <v/>
      </c>
      <c r="D112" s="11">
        <f>C112/1000</f>
        <v/>
      </c>
      <c r="E112" s="12">
        <f>IF(B112&lt;='Parameters &amp; Formulas'!$B$36,"Pre-breakpoint (20 log)","Post-breakpoint (40 log)")</f>
        <v/>
      </c>
    </row>
    <row r="113">
      <c r="A113" s="10" t="n">
        <v>12.97939698492462</v>
      </c>
      <c r="B113" s="11">
        <f>'Parameters &amp; Formulas'!$B$32-(A113+'Parameters &amp; Formulas'!$B$29+'Parameters &amp; Formulas'!$B$17+'Parameters &amp; Formulas'!$B$18)</f>
        <v/>
      </c>
      <c r="C113" s="10">
        <f>IF(B113&lt;='Parameters &amp; Formulas'!$B$36,POWER(10,(B113-'Parameters &amp; Formulas'!$B$35)/20),POWER(10,(B113-'Parameters &amp; Formulas'!$B$35+20*LOG10('Parameters &amp; Formulas'!$B$34))/40))</f>
        <v/>
      </c>
      <c r="D113" s="11">
        <f>C113/1000</f>
        <v/>
      </c>
      <c r="E113" s="12">
        <f>IF(B113&lt;='Parameters &amp; Formulas'!$B$36,"Pre-breakpoint (20 log)","Post-breakpoint (40 log)")</f>
        <v/>
      </c>
    </row>
    <row r="114">
      <c r="A114" s="10" t="n">
        <v>12.80804020100502</v>
      </c>
      <c r="B114" s="11">
        <f>'Parameters &amp; Formulas'!$B$32-(A114+'Parameters &amp; Formulas'!$B$29+'Parameters &amp; Formulas'!$B$17+'Parameters &amp; Formulas'!$B$18)</f>
        <v/>
      </c>
      <c r="C114" s="10">
        <f>IF(B114&lt;='Parameters &amp; Formulas'!$B$36,POWER(10,(B114-'Parameters &amp; Formulas'!$B$35)/20),POWER(10,(B114-'Parameters &amp; Formulas'!$B$35+20*LOG10('Parameters &amp; Formulas'!$B$34))/40))</f>
        <v/>
      </c>
      <c r="D114" s="11">
        <f>C114/1000</f>
        <v/>
      </c>
      <c r="E114" s="12">
        <f>IF(B114&lt;='Parameters &amp; Formulas'!$B$36,"Pre-breakpoint (20 log)","Post-breakpoint (40 log)")</f>
        <v/>
      </c>
    </row>
    <row r="115">
      <c r="A115" s="10" t="n">
        <v>12.63668341708543</v>
      </c>
      <c r="B115" s="11">
        <f>'Parameters &amp; Formulas'!$B$32-(A115+'Parameters &amp; Formulas'!$B$29+'Parameters &amp; Formulas'!$B$17+'Parameters &amp; Formulas'!$B$18)</f>
        <v/>
      </c>
      <c r="C115" s="10">
        <f>IF(B115&lt;='Parameters &amp; Formulas'!$B$36,POWER(10,(B115-'Parameters &amp; Formulas'!$B$35)/20),POWER(10,(B115-'Parameters &amp; Formulas'!$B$35+20*LOG10('Parameters &amp; Formulas'!$B$34))/40))</f>
        <v/>
      </c>
      <c r="D115" s="11">
        <f>C115/1000</f>
        <v/>
      </c>
      <c r="E115" s="12">
        <f>IF(B115&lt;='Parameters &amp; Formulas'!$B$36,"Pre-breakpoint (20 log)","Post-breakpoint (40 log)")</f>
        <v/>
      </c>
    </row>
    <row r="116">
      <c r="A116" s="10" t="n">
        <v>12.46532663316583</v>
      </c>
      <c r="B116" s="11">
        <f>'Parameters &amp; Formulas'!$B$32-(A116+'Parameters &amp; Formulas'!$B$29+'Parameters &amp; Formulas'!$B$17+'Parameters &amp; Formulas'!$B$18)</f>
        <v/>
      </c>
      <c r="C116" s="10">
        <f>IF(B116&lt;='Parameters &amp; Formulas'!$B$36,POWER(10,(B116-'Parameters &amp; Formulas'!$B$35)/20),POWER(10,(B116-'Parameters &amp; Formulas'!$B$35+20*LOG10('Parameters &amp; Formulas'!$B$34))/40))</f>
        <v/>
      </c>
      <c r="D116" s="11">
        <f>C116/1000</f>
        <v/>
      </c>
      <c r="E116" s="12">
        <f>IF(B116&lt;='Parameters &amp; Formulas'!$B$36,"Pre-breakpoint (20 log)","Post-breakpoint (40 log)")</f>
        <v/>
      </c>
    </row>
    <row r="117">
      <c r="A117" s="10" t="n">
        <v>12.29396984924623</v>
      </c>
      <c r="B117" s="11">
        <f>'Parameters &amp; Formulas'!$B$32-(A117+'Parameters &amp; Formulas'!$B$29+'Parameters &amp; Formulas'!$B$17+'Parameters &amp; Formulas'!$B$18)</f>
        <v/>
      </c>
      <c r="C117" s="10">
        <f>IF(B117&lt;='Parameters &amp; Formulas'!$B$36,POWER(10,(B117-'Parameters &amp; Formulas'!$B$35)/20),POWER(10,(B117-'Parameters &amp; Formulas'!$B$35+20*LOG10('Parameters &amp; Formulas'!$B$34))/40))</f>
        <v/>
      </c>
      <c r="D117" s="11">
        <f>C117/1000</f>
        <v/>
      </c>
      <c r="E117" s="12">
        <f>IF(B117&lt;='Parameters &amp; Formulas'!$B$36,"Pre-breakpoint (20 log)","Post-breakpoint (40 log)")</f>
        <v/>
      </c>
    </row>
    <row r="118">
      <c r="A118" s="10" t="n">
        <v>12.12261306532663</v>
      </c>
      <c r="B118" s="11">
        <f>'Parameters &amp; Formulas'!$B$32-(A118+'Parameters &amp; Formulas'!$B$29+'Parameters &amp; Formulas'!$B$17+'Parameters &amp; Formulas'!$B$18)</f>
        <v/>
      </c>
      <c r="C118" s="10">
        <f>IF(B118&lt;='Parameters &amp; Formulas'!$B$36,POWER(10,(B118-'Parameters &amp; Formulas'!$B$35)/20),POWER(10,(B118-'Parameters &amp; Formulas'!$B$35+20*LOG10('Parameters &amp; Formulas'!$B$34))/40))</f>
        <v/>
      </c>
      <c r="D118" s="11">
        <f>C118/1000</f>
        <v/>
      </c>
      <c r="E118" s="12">
        <f>IF(B118&lt;='Parameters &amp; Formulas'!$B$36,"Pre-breakpoint (20 log)","Post-breakpoint (40 log)")</f>
        <v/>
      </c>
    </row>
    <row r="119">
      <c r="A119" s="10" t="n">
        <v>11.95125628140703</v>
      </c>
      <c r="B119" s="11">
        <f>'Parameters &amp; Formulas'!$B$32-(A119+'Parameters &amp; Formulas'!$B$29+'Parameters &amp; Formulas'!$B$17+'Parameters &amp; Formulas'!$B$18)</f>
        <v/>
      </c>
      <c r="C119" s="10">
        <f>IF(B119&lt;='Parameters &amp; Formulas'!$B$36,POWER(10,(B119-'Parameters &amp; Formulas'!$B$35)/20),POWER(10,(B119-'Parameters &amp; Formulas'!$B$35+20*LOG10('Parameters &amp; Formulas'!$B$34))/40))</f>
        <v/>
      </c>
      <c r="D119" s="11">
        <f>C119/1000</f>
        <v/>
      </c>
      <c r="E119" s="12">
        <f>IF(B119&lt;='Parameters &amp; Formulas'!$B$36,"Pre-breakpoint (20 log)","Post-breakpoint (40 log)")</f>
        <v/>
      </c>
    </row>
    <row r="120">
      <c r="A120" s="10" t="n">
        <v>11.77989949748744</v>
      </c>
      <c r="B120" s="11">
        <f>'Parameters &amp; Formulas'!$B$32-(A120+'Parameters &amp; Formulas'!$B$29+'Parameters &amp; Formulas'!$B$17+'Parameters &amp; Formulas'!$B$18)</f>
        <v/>
      </c>
      <c r="C120" s="10">
        <f>IF(B120&lt;='Parameters &amp; Formulas'!$B$36,POWER(10,(B120-'Parameters &amp; Formulas'!$B$35)/20),POWER(10,(B120-'Parameters &amp; Formulas'!$B$35+20*LOG10('Parameters &amp; Formulas'!$B$34))/40))</f>
        <v/>
      </c>
      <c r="D120" s="11">
        <f>C120/1000</f>
        <v/>
      </c>
      <c r="E120" s="12">
        <f>IF(B120&lt;='Parameters &amp; Formulas'!$B$36,"Pre-breakpoint (20 log)","Post-breakpoint (40 log)")</f>
        <v/>
      </c>
    </row>
    <row r="121">
      <c r="A121" s="10" t="n">
        <v>11.60854271356784</v>
      </c>
      <c r="B121" s="11">
        <f>'Parameters &amp; Formulas'!$B$32-(A121+'Parameters &amp; Formulas'!$B$29+'Parameters &amp; Formulas'!$B$17+'Parameters &amp; Formulas'!$B$18)</f>
        <v/>
      </c>
      <c r="C121" s="10">
        <f>IF(B121&lt;='Parameters &amp; Formulas'!$B$36,POWER(10,(B121-'Parameters &amp; Formulas'!$B$35)/20),POWER(10,(B121-'Parameters &amp; Formulas'!$B$35+20*LOG10('Parameters &amp; Formulas'!$B$34))/40))</f>
        <v/>
      </c>
      <c r="D121" s="11">
        <f>C121/1000</f>
        <v/>
      </c>
      <c r="E121" s="12">
        <f>IF(B121&lt;='Parameters &amp; Formulas'!$B$36,"Pre-breakpoint (20 log)","Post-breakpoint (40 log)")</f>
        <v/>
      </c>
    </row>
    <row r="122">
      <c r="A122" s="10" t="n">
        <v>11.43718592964824</v>
      </c>
      <c r="B122" s="11">
        <f>'Parameters &amp; Formulas'!$B$32-(A122+'Parameters &amp; Formulas'!$B$29+'Parameters &amp; Formulas'!$B$17+'Parameters &amp; Formulas'!$B$18)</f>
        <v/>
      </c>
      <c r="C122" s="10">
        <f>IF(B122&lt;='Parameters &amp; Formulas'!$B$36,POWER(10,(B122-'Parameters &amp; Formulas'!$B$35)/20),POWER(10,(B122-'Parameters &amp; Formulas'!$B$35+20*LOG10('Parameters &amp; Formulas'!$B$34))/40))</f>
        <v/>
      </c>
      <c r="D122" s="11">
        <f>C122/1000</f>
        <v/>
      </c>
      <c r="E122" s="12">
        <f>IF(B122&lt;='Parameters &amp; Formulas'!$B$36,"Pre-breakpoint (20 log)","Post-breakpoint (40 log)")</f>
        <v/>
      </c>
    </row>
    <row r="123">
      <c r="A123" s="10" t="n">
        <v>11.26582914572864</v>
      </c>
      <c r="B123" s="11">
        <f>'Parameters &amp; Formulas'!$B$32-(A123+'Parameters &amp; Formulas'!$B$29+'Parameters &amp; Formulas'!$B$17+'Parameters &amp; Formulas'!$B$18)</f>
        <v/>
      </c>
      <c r="C123" s="10">
        <f>IF(B123&lt;='Parameters &amp; Formulas'!$B$36,POWER(10,(B123-'Parameters &amp; Formulas'!$B$35)/20),POWER(10,(B123-'Parameters &amp; Formulas'!$B$35+20*LOG10('Parameters &amp; Formulas'!$B$34))/40))</f>
        <v/>
      </c>
      <c r="D123" s="11">
        <f>C123/1000</f>
        <v/>
      </c>
      <c r="E123" s="12">
        <f>IF(B123&lt;='Parameters &amp; Formulas'!$B$36,"Pre-breakpoint (20 log)","Post-breakpoint (40 log)")</f>
        <v/>
      </c>
    </row>
    <row r="124">
      <c r="A124" s="10" t="n">
        <v>11.09447236180905</v>
      </c>
      <c r="B124" s="11">
        <f>'Parameters &amp; Formulas'!$B$32-(A124+'Parameters &amp; Formulas'!$B$29+'Parameters &amp; Formulas'!$B$17+'Parameters &amp; Formulas'!$B$18)</f>
        <v/>
      </c>
      <c r="C124" s="10">
        <f>IF(B124&lt;='Parameters &amp; Formulas'!$B$36,POWER(10,(B124-'Parameters &amp; Formulas'!$B$35)/20),POWER(10,(B124-'Parameters &amp; Formulas'!$B$35+20*LOG10('Parameters &amp; Formulas'!$B$34))/40))</f>
        <v/>
      </c>
      <c r="D124" s="11">
        <f>C124/1000</f>
        <v/>
      </c>
      <c r="E124" s="12">
        <f>IF(B124&lt;='Parameters &amp; Formulas'!$B$36,"Pre-breakpoint (20 log)","Post-breakpoint (40 log)")</f>
        <v/>
      </c>
    </row>
    <row r="125">
      <c r="A125" s="10" t="n">
        <v>10.92311557788945</v>
      </c>
      <c r="B125" s="11">
        <f>'Parameters &amp; Formulas'!$B$32-(A125+'Parameters &amp; Formulas'!$B$29+'Parameters &amp; Formulas'!$B$17+'Parameters &amp; Formulas'!$B$18)</f>
        <v/>
      </c>
      <c r="C125" s="10">
        <f>IF(B125&lt;='Parameters &amp; Formulas'!$B$36,POWER(10,(B125-'Parameters &amp; Formulas'!$B$35)/20),POWER(10,(B125-'Parameters &amp; Formulas'!$B$35+20*LOG10('Parameters &amp; Formulas'!$B$34))/40))</f>
        <v/>
      </c>
      <c r="D125" s="11">
        <f>C125/1000</f>
        <v/>
      </c>
      <c r="E125" s="12">
        <f>IF(B125&lt;='Parameters &amp; Formulas'!$B$36,"Pre-breakpoint (20 log)","Post-breakpoint (40 log)")</f>
        <v/>
      </c>
    </row>
    <row r="126">
      <c r="A126" s="10" t="n">
        <v>10.75175879396985</v>
      </c>
      <c r="B126" s="11">
        <f>'Parameters &amp; Formulas'!$B$32-(A126+'Parameters &amp; Formulas'!$B$29+'Parameters &amp; Formulas'!$B$17+'Parameters &amp; Formulas'!$B$18)</f>
        <v/>
      </c>
      <c r="C126" s="10">
        <f>IF(B126&lt;='Parameters &amp; Formulas'!$B$36,POWER(10,(B126-'Parameters &amp; Formulas'!$B$35)/20),POWER(10,(B126-'Parameters &amp; Formulas'!$B$35+20*LOG10('Parameters &amp; Formulas'!$B$34))/40))</f>
        <v/>
      </c>
      <c r="D126" s="11">
        <f>C126/1000</f>
        <v/>
      </c>
      <c r="E126" s="12">
        <f>IF(B126&lt;='Parameters &amp; Formulas'!$B$36,"Pre-breakpoint (20 log)","Post-breakpoint (40 log)")</f>
        <v/>
      </c>
    </row>
    <row r="127">
      <c r="A127" s="10" t="n">
        <v>10.58040201005025</v>
      </c>
      <c r="B127" s="11">
        <f>'Parameters &amp; Formulas'!$B$32-(A127+'Parameters &amp; Formulas'!$B$29+'Parameters &amp; Formulas'!$B$17+'Parameters &amp; Formulas'!$B$18)</f>
        <v/>
      </c>
      <c r="C127" s="10">
        <f>IF(B127&lt;='Parameters &amp; Formulas'!$B$36,POWER(10,(B127-'Parameters &amp; Formulas'!$B$35)/20),POWER(10,(B127-'Parameters &amp; Formulas'!$B$35+20*LOG10('Parameters &amp; Formulas'!$B$34))/40))</f>
        <v/>
      </c>
      <c r="D127" s="11">
        <f>C127/1000</f>
        <v/>
      </c>
      <c r="E127" s="12">
        <f>IF(B127&lt;='Parameters &amp; Formulas'!$B$36,"Pre-breakpoint (20 log)","Post-breakpoint (40 log)")</f>
        <v/>
      </c>
    </row>
    <row r="128">
      <c r="A128" s="10" t="n">
        <v>10.40904522613065</v>
      </c>
      <c r="B128" s="11">
        <f>'Parameters &amp; Formulas'!$B$32-(A128+'Parameters &amp; Formulas'!$B$29+'Parameters &amp; Formulas'!$B$17+'Parameters &amp; Formulas'!$B$18)</f>
        <v/>
      </c>
      <c r="C128" s="10">
        <f>IF(B128&lt;='Parameters &amp; Formulas'!$B$36,POWER(10,(B128-'Parameters &amp; Formulas'!$B$35)/20),POWER(10,(B128-'Parameters &amp; Formulas'!$B$35+20*LOG10('Parameters &amp; Formulas'!$B$34))/40))</f>
        <v/>
      </c>
      <c r="D128" s="11">
        <f>C128/1000</f>
        <v/>
      </c>
      <c r="E128" s="12">
        <f>IF(B128&lt;='Parameters &amp; Formulas'!$B$36,"Pre-breakpoint (20 log)","Post-breakpoint (40 log)")</f>
        <v/>
      </c>
    </row>
    <row r="129">
      <c r="A129" s="10" t="n">
        <v>10.23768844221106</v>
      </c>
      <c r="B129" s="11">
        <f>'Parameters &amp; Formulas'!$B$32-(A129+'Parameters &amp; Formulas'!$B$29+'Parameters &amp; Formulas'!$B$17+'Parameters &amp; Formulas'!$B$18)</f>
        <v/>
      </c>
      <c r="C129" s="10">
        <f>IF(B129&lt;='Parameters &amp; Formulas'!$B$36,POWER(10,(B129-'Parameters &amp; Formulas'!$B$35)/20),POWER(10,(B129-'Parameters &amp; Formulas'!$B$35+20*LOG10('Parameters &amp; Formulas'!$B$34))/40))</f>
        <v/>
      </c>
      <c r="D129" s="11">
        <f>C129/1000</f>
        <v/>
      </c>
      <c r="E129" s="12">
        <f>IF(B129&lt;='Parameters &amp; Formulas'!$B$36,"Pre-breakpoint (20 log)","Post-breakpoint (40 log)")</f>
        <v/>
      </c>
    </row>
    <row r="130">
      <c r="A130" s="10" t="n">
        <v>10.06633165829146</v>
      </c>
      <c r="B130" s="11">
        <f>'Parameters &amp; Formulas'!$B$32-(A130+'Parameters &amp; Formulas'!$B$29+'Parameters &amp; Formulas'!$B$17+'Parameters &amp; Formulas'!$B$18)</f>
        <v/>
      </c>
      <c r="C130" s="10">
        <f>IF(B130&lt;='Parameters &amp; Formulas'!$B$36,POWER(10,(B130-'Parameters &amp; Formulas'!$B$35)/20),POWER(10,(B130-'Parameters &amp; Formulas'!$B$35+20*LOG10('Parameters &amp; Formulas'!$B$34))/40))</f>
        <v/>
      </c>
      <c r="D130" s="11">
        <f>C130/1000</f>
        <v/>
      </c>
      <c r="E130" s="12">
        <f>IF(B130&lt;='Parameters &amp; Formulas'!$B$36,"Pre-breakpoint (20 log)","Post-breakpoint (40 log)")</f>
        <v/>
      </c>
    </row>
    <row r="131">
      <c r="A131" s="10" t="n">
        <v>9.894974874371858</v>
      </c>
      <c r="B131" s="11">
        <f>'Parameters &amp; Formulas'!$B$32-(A131+'Parameters &amp; Formulas'!$B$29+'Parameters &amp; Formulas'!$B$17+'Parameters &amp; Formulas'!$B$18)</f>
        <v/>
      </c>
      <c r="C131" s="10">
        <f>IF(B131&lt;='Parameters &amp; Formulas'!$B$36,POWER(10,(B131-'Parameters &amp; Formulas'!$B$35)/20),POWER(10,(B131-'Parameters &amp; Formulas'!$B$35+20*LOG10('Parameters &amp; Formulas'!$B$34))/40))</f>
        <v/>
      </c>
      <c r="D131" s="11">
        <f>C131/1000</f>
        <v/>
      </c>
      <c r="E131" s="12">
        <f>IF(B131&lt;='Parameters &amp; Formulas'!$B$36,"Pre-breakpoint (20 log)","Post-breakpoint (40 log)")</f>
        <v/>
      </c>
    </row>
    <row r="132">
      <c r="A132" s="10" t="n">
        <v>9.723618090452259</v>
      </c>
      <c r="B132" s="11">
        <f>'Parameters &amp; Formulas'!$B$32-(A132+'Parameters &amp; Formulas'!$B$29+'Parameters &amp; Formulas'!$B$17+'Parameters &amp; Formulas'!$B$18)</f>
        <v/>
      </c>
      <c r="C132" s="10">
        <f>IF(B132&lt;='Parameters &amp; Formulas'!$B$36,POWER(10,(B132-'Parameters &amp; Formulas'!$B$35)/20),POWER(10,(B132-'Parameters &amp; Formulas'!$B$35+20*LOG10('Parameters &amp; Formulas'!$B$34))/40))</f>
        <v/>
      </c>
      <c r="D132" s="11">
        <f>C132/1000</f>
        <v/>
      </c>
      <c r="E132" s="12">
        <f>IF(B132&lt;='Parameters &amp; Formulas'!$B$36,"Pre-breakpoint (20 log)","Post-breakpoint (40 log)")</f>
        <v/>
      </c>
    </row>
    <row r="133">
      <c r="A133" s="10" t="n">
        <v>9.552261306532664</v>
      </c>
      <c r="B133" s="11">
        <f>'Parameters &amp; Formulas'!$B$32-(A133+'Parameters &amp; Formulas'!$B$29+'Parameters &amp; Formulas'!$B$17+'Parameters &amp; Formulas'!$B$18)</f>
        <v/>
      </c>
      <c r="C133" s="10">
        <f>IF(B133&lt;='Parameters &amp; Formulas'!$B$36,POWER(10,(B133-'Parameters &amp; Formulas'!$B$35)/20),POWER(10,(B133-'Parameters &amp; Formulas'!$B$35+20*LOG10('Parameters &amp; Formulas'!$B$34))/40))</f>
        <v/>
      </c>
      <c r="D133" s="11">
        <f>C133/1000</f>
        <v/>
      </c>
      <c r="E133" s="12">
        <f>IF(B133&lt;='Parameters &amp; Formulas'!$B$36,"Pre-breakpoint (20 log)","Post-breakpoint (40 log)")</f>
        <v/>
      </c>
    </row>
    <row r="134">
      <c r="A134" s="10" t="n">
        <v>9.380904522613065</v>
      </c>
      <c r="B134" s="11">
        <f>'Parameters &amp; Formulas'!$B$32-(A134+'Parameters &amp; Formulas'!$B$29+'Parameters &amp; Formulas'!$B$17+'Parameters &amp; Formulas'!$B$18)</f>
        <v/>
      </c>
      <c r="C134" s="10">
        <f>IF(B134&lt;='Parameters &amp; Formulas'!$B$36,POWER(10,(B134-'Parameters &amp; Formulas'!$B$35)/20),POWER(10,(B134-'Parameters &amp; Formulas'!$B$35+20*LOG10('Parameters &amp; Formulas'!$B$34))/40))</f>
        <v/>
      </c>
      <c r="D134" s="11">
        <f>C134/1000</f>
        <v/>
      </c>
      <c r="E134" s="12">
        <f>IF(B134&lt;='Parameters &amp; Formulas'!$B$36,"Pre-breakpoint (20 log)","Post-breakpoint (40 log)")</f>
        <v/>
      </c>
    </row>
    <row r="135">
      <c r="A135" s="10" t="n">
        <v>9.209547738693466</v>
      </c>
      <c r="B135" s="11">
        <f>'Parameters &amp; Formulas'!$B$32-(A135+'Parameters &amp; Formulas'!$B$29+'Parameters &amp; Formulas'!$B$17+'Parameters &amp; Formulas'!$B$18)</f>
        <v/>
      </c>
      <c r="C135" s="10">
        <f>IF(B135&lt;='Parameters &amp; Formulas'!$B$36,POWER(10,(B135-'Parameters &amp; Formulas'!$B$35)/20),POWER(10,(B135-'Parameters &amp; Formulas'!$B$35+20*LOG10('Parameters &amp; Formulas'!$B$34))/40))</f>
        <v/>
      </c>
      <c r="D135" s="11">
        <f>C135/1000</f>
        <v/>
      </c>
      <c r="E135" s="12">
        <f>IF(B135&lt;='Parameters &amp; Formulas'!$B$36,"Pre-breakpoint (20 log)","Post-breakpoint (40 log)")</f>
        <v/>
      </c>
    </row>
    <row r="136">
      <c r="A136" s="10" t="n">
        <v>9.038190954773867</v>
      </c>
      <c r="B136" s="11">
        <f>'Parameters &amp; Formulas'!$B$32-(A136+'Parameters &amp; Formulas'!$B$29+'Parameters &amp; Formulas'!$B$17+'Parameters &amp; Formulas'!$B$18)</f>
        <v/>
      </c>
      <c r="C136" s="10">
        <f>IF(B136&lt;='Parameters &amp; Formulas'!$B$36,POWER(10,(B136-'Parameters &amp; Formulas'!$B$35)/20),POWER(10,(B136-'Parameters &amp; Formulas'!$B$35+20*LOG10('Parameters &amp; Formulas'!$B$34))/40))</f>
        <v/>
      </c>
      <c r="D136" s="11">
        <f>C136/1000</f>
        <v/>
      </c>
      <c r="E136" s="12">
        <f>IF(B136&lt;='Parameters &amp; Formulas'!$B$36,"Pre-breakpoint (20 log)","Post-breakpoint (40 log)")</f>
        <v/>
      </c>
    </row>
    <row r="137">
      <c r="A137" s="10" t="n">
        <v>8.866834170854272</v>
      </c>
      <c r="B137" s="11">
        <f>'Parameters &amp; Formulas'!$B$32-(A137+'Parameters &amp; Formulas'!$B$29+'Parameters &amp; Formulas'!$B$17+'Parameters &amp; Formulas'!$B$18)</f>
        <v/>
      </c>
      <c r="C137" s="10">
        <f>IF(B137&lt;='Parameters &amp; Formulas'!$B$36,POWER(10,(B137-'Parameters &amp; Formulas'!$B$35)/20),POWER(10,(B137-'Parameters &amp; Formulas'!$B$35+20*LOG10('Parameters &amp; Formulas'!$B$34))/40))</f>
        <v/>
      </c>
      <c r="D137" s="11">
        <f>C137/1000</f>
        <v/>
      </c>
      <c r="E137" s="12">
        <f>IF(B137&lt;='Parameters &amp; Formulas'!$B$36,"Pre-breakpoint (20 log)","Post-breakpoint (40 log)")</f>
        <v/>
      </c>
    </row>
    <row r="138">
      <c r="A138" s="10" t="n">
        <v>8.695477386934673</v>
      </c>
      <c r="B138" s="11">
        <f>'Parameters &amp; Formulas'!$B$32-(A138+'Parameters &amp; Formulas'!$B$29+'Parameters &amp; Formulas'!$B$17+'Parameters &amp; Formulas'!$B$18)</f>
        <v/>
      </c>
      <c r="C138" s="10">
        <f>IF(B138&lt;='Parameters &amp; Formulas'!$B$36,POWER(10,(B138-'Parameters &amp; Formulas'!$B$35)/20),POWER(10,(B138-'Parameters &amp; Formulas'!$B$35+20*LOG10('Parameters &amp; Formulas'!$B$34))/40))</f>
        <v/>
      </c>
      <c r="D138" s="11">
        <f>C138/1000</f>
        <v/>
      </c>
      <c r="E138" s="12">
        <f>IF(B138&lt;='Parameters &amp; Formulas'!$B$36,"Pre-breakpoint (20 log)","Post-breakpoint (40 log)")</f>
        <v/>
      </c>
    </row>
    <row r="139">
      <c r="A139" s="10" t="n">
        <v>8.524120603015074</v>
      </c>
      <c r="B139" s="11">
        <f>'Parameters &amp; Formulas'!$B$32-(A139+'Parameters &amp; Formulas'!$B$29+'Parameters &amp; Formulas'!$B$17+'Parameters &amp; Formulas'!$B$18)</f>
        <v/>
      </c>
      <c r="C139" s="10">
        <f>IF(B139&lt;='Parameters &amp; Formulas'!$B$36,POWER(10,(B139-'Parameters &amp; Formulas'!$B$35)/20),POWER(10,(B139-'Parameters &amp; Formulas'!$B$35+20*LOG10('Parameters &amp; Formulas'!$B$34))/40))</f>
        <v/>
      </c>
      <c r="D139" s="11">
        <f>C139/1000</f>
        <v/>
      </c>
      <c r="E139" s="12">
        <f>IF(B139&lt;='Parameters &amp; Formulas'!$B$36,"Pre-breakpoint (20 log)","Post-breakpoint (40 log)")</f>
        <v/>
      </c>
    </row>
    <row r="140">
      <c r="A140" s="10" t="n">
        <v>8.352763819095475</v>
      </c>
      <c r="B140" s="11">
        <f>'Parameters &amp; Formulas'!$B$32-(A140+'Parameters &amp; Formulas'!$B$29+'Parameters &amp; Formulas'!$B$17+'Parameters &amp; Formulas'!$B$18)</f>
        <v/>
      </c>
      <c r="C140" s="10">
        <f>IF(B140&lt;='Parameters &amp; Formulas'!$B$36,POWER(10,(B140-'Parameters &amp; Formulas'!$B$35)/20),POWER(10,(B140-'Parameters &amp; Formulas'!$B$35+20*LOG10('Parameters &amp; Formulas'!$B$34))/40))</f>
        <v/>
      </c>
      <c r="D140" s="11">
        <f>C140/1000</f>
        <v/>
      </c>
      <c r="E140" s="12">
        <f>IF(B140&lt;='Parameters &amp; Formulas'!$B$36,"Pre-breakpoint (20 log)","Post-breakpoint (40 log)")</f>
        <v/>
      </c>
    </row>
    <row r="141">
      <c r="A141" s="10" t="n">
        <v>8.18140703517588</v>
      </c>
      <c r="B141" s="11">
        <f>'Parameters &amp; Formulas'!$B$32-(A141+'Parameters &amp; Formulas'!$B$29+'Parameters &amp; Formulas'!$B$17+'Parameters &amp; Formulas'!$B$18)</f>
        <v/>
      </c>
      <c r="C141" s="10">
        <f>IF(B141&lt;='Parameters &amp; Formulas'!$B$36,POWER(10,(B141-'Parameters &amp; Formulas'!$B$35)/20),POWER(10,(B141-'Parameters &amp; Formulas'!$B$35+20*LOG10('Parameters &amp; Formulas'!$B$34))/40))</f>
        <v/>
      </c>
      <c r="D141" s="11">
        <f>C141/1000</f>
        <v/>
      </c>
      <c r="E141" s="12">
        <f>IF(B141&lt;='Parameters &amp; Formulas'!$B$36,"Pre-breakpoint (20 log)","Post-breakpoint (40 log)")</f>
        <v/>
      </c>
    </row>
    <row r="142">
      <c r="A142" s="10" t="n">
        <v>8.010050251256281</v>
      </c>
      <c r="B142" s="11">
        <f>'Parameters &amp; Formulas'!$B$32-(A142+'Parameters &amp; Formulas'!$B$29+'Parameters &amp; Formulas'!$B$17+'Parameters &amp; Formulas'!$B$18)</f>
        <v/>
      </c>
      <c r="C142" s="10">
        <f>IF(B142&lt;='Parameters &amp; Formulas'!$B$36,POWER(10,(B142-'Parameters &amp; Formulas'!$B$35)/20),POWER(10,(B142-'Parameters &amp; Formulas'!$B$35+20*LOG10('Parameters &amp; Formulas'!$B$34))/40))</f>
        <v/>
      </c>
      <c r="D142" s="11">
        <f>C142/1000</f>
        <v/>
      </c>
      <c r="E142" s="12">
        <f>IF(B142&lt;='Parameters &amp; Formulas'!$B$36,"Pre-breakpoint (20 log)","Post-breakpoint (40 log)")</f>
        <v/>
      </c>
    </row>
    <row r="143">
      <c r="A143" s="10" t="n">
        <v>7.838693467336682</v>
      </c>
      <c r="B143" s="11">
        <f>'Parameters &amp; Formulas'!$B$32-(A143+'Parameters &amp; Formulas'!$B$29+'Parameters &amp; Formulas'!$B$17+'Parameters &amp; Formulas'!$B$18)</f>
        <v/>
      </c>
      <c r="C143" s="10">
        <f>IF(B143&lt;='Parameters &amp; Formulas'!$B$36,POWER(10,(B143-'Parameters &amp; Formulas'!$B$35)/20),POWER(10,(B143-'Parameters &amp; Formulas'!$B$35+20*LOG10('Parameters &amp; Formulas'!$B$34))/40))</f>
        <v/>
      </c>
      <c r="D143" s="11">
        <f>C143/1000</f>
        <v/>
      </c>
      <c r="E143" s="12">
        <f>IF(B143&lt;='Parameters &amp; Formulas'!$B$36,"Pre-breakpoint (20 log)","Post-breakpoint (40 log)")</f>
        <v/>
      </c>
    </row>
    <row r="144">
      <c r="A144" s="10" t="n">
        <v>7.667336683417084</v>
      </c>
      <c r="B144" s="11">
        <f>'Parameters &amp; Formulas'!$B$32-(A144+'Parameters &amp; Formulas'!$B$29+'Parameters &amp; Formulas'!$B$17+'Parameters &amp; Formulas'!$B$18)</f>
        <v/>
      </c>
      <c r="C144" s="10">
        <f>IF(B144&lt;='Parameters &amp; Formulas'!$B$36,POWER(10,(B144-'Parameters &amp; Formulas'!$B$35)/20),POWER(10,(B144-'Parameters &amp; Formulas'!$B$35+20*LOG10('Parameters &amp; Formulas'!$B$34))/40))</f>
        <v/>
      </c>
      <c r="D144" s="11">
        <f>C144/1000</f>
        <v/>
      </c>
      <c r="E144" s="12">
        <f>IF(B144&lt;='Parameters &amp; Formulas'!$B$36,"Pre-breakpoint (20 log)","Post-breakpoint (40 log)")</f>
        <v/>
      </c>
    </row>
    <row r="145">
      <c r="A145" s="10" t="n">
        <v>7.495979899497488</v>
      </c>
      <c r="B145" s="11">
        <f>'Parameters &amp; Formulas'!$B$32-(A145+'Parameters &amp; Formulas'!$B$29+'Parameters &amp; Formulas'!$B$17+'Parameters &amp; Formulas'!$B$18)</f>
        <v/>
      </c>
      <c r="C145" s="10">
        <f>IF(B145&lt;='Parameters &amp; Formulas'!$B$36,POWER(10,(B145-'Parameters &amp; Formulas'!$B$35)/20),POWER(10,(B145-'Parameters &amp; Formulas'!$B$35+20*LOG10('Parameters &amp; Formulas'!$B$34))/40))</f>
        <v/>
      </c>
      <c r="D145" s="11">
        <f>C145/1000</f>
        <v/>
      </c>
      <c r="E145" s="12">
        <f>IF(B145&lt;='Parameters &amp; Formulas'!$B$36,"Pre-breakpoint (20 log)","Post-breakpoint (40 log)")</f>
        <v/>
      </c>
    </row>
    <row r="146">
      <c r="A146" s="10" t="n">
        <v>7.324623115577889</v>
      </c>
      <c r="B146" s="11">
        <f>'Parameters &amp; Formulas'!$B$32-(A146+'Parameters &amp; Formulas'!$B$29+'Parameters &amp; Formulas'!$B$17+'Parameters &amp; Formulas'!$B$18)</f>
        <v/>
      </c>
      <c r="C146" s="10">
        <f>IF(B146&lt;='Parameters &amp; Formulas'!$B$36,POWER(10,(B146-'Parameters &amp; Formulas'!$B$35)/20),POWER(10,(B146-'Parameters &amp; Formulas'!$B$35+20*LOG10('Parameters &amp; Formulas'!$B$34))/40))</f>
        <v/>
      </c>
      <c r="D146" s="11">
        <f>C146/1000</f>
        <v/>
      </c>
      <c r="E146" s="12">
        <f>IF(B146&lt;='Parameters &amp; Formulas'!$B$36,"Pre-breakpoint (20 log)","Post-breakpoint (40 log)")</f>
        <v/>
      </c>
    </row>
    <row r="147">
      <c r="A147" s="10" t="n">
        <v>7.153266331658291</v>
      </c>
      <c r="B147" s="11">
        <f>'Parameters &amp; Formulas'!$B$32-(A147+'Parameters &amp; Formulas'!$B$29+'Parameters &amp; Formulas'!$B$17+'Parameters &amp; Formulas'!$B$18)</f>
        <v/>
      </c>
      <c r="C147" s="10">
        <f>IF(B147&lt;='Parameters &amp; Formulas'!$B$36,POWER(10,(B147-'Parameters &amp; Formulas'!$B$35)/20),POWER(10,(B147-'Parameters &amp; Formulas'!$B$35+20*LOG10('Parameters &amp; Formulas'!$B$34))/40))</f>
        <v/>
      </c>
      <c r="D147" s="11">
        <f>C147/1000</f>
        <v/>
      </c>
      <c r="E147" s="12">
        <f>IF(B147&lt;='Parameters &amp; Formulas'!$B$36,"Pre-breakpoint (20 log)","Post-breakpoint (40 log)")</f>
        <v/>
      </c>
    </row>
    <row r="148">
      <c r="A148" s="10" t="n">
        <v>6.981909547738692</v>
      </c>
      <c r="B148" s="11">
        <f>'Parameters &amp; Formulas'!$B$32-(A148+'Parameters &amp; Formulas'!$B$29+'Parameters &amp; Formulas'!$B$17+'Parameters &amp; Formulas'!$B$18)</f>
        <v/>
      </c>
      <c r="C148" s="10">
        <f>IF(B148&lt;='Parameters &amp; Formulas'!$B$36,POWER(10,(B148-'Parameters &amp; Formulas'!$B$35)/20),POWER(10,(B148-'Parameters &amp; Formulas'!$B$35+20*LOG10('Parameters &amp; Formulas'!$B$34))/40))</f>
        <v/>
      </c>
      <c r="D148" s="11">
        <f>C148/1000</f>
        <v/>
      </c>
      <c r="E148" s="12">
        <f>IF(B148&lt;='Parameters &amp; Formulas'!$B$36,"Pre-breakpoint (20 log)","Post-breakpoint (40 log)")</f>
        <v/>
      </c>
    </row>
    <row r="149">
      <c r="A149" s="10" t="n">
        <v>6.810552763819096</v>
      </c>
      <c r="B149" s="11">
        <f>'Parameters &amp; Formulas'!$B$32-(A149+'Parameters &amp; Formulas'!$B$29+'Parameters &amp; Formulas'!$B$17+'Parameters &amp; Formulas'!$B$18)</f>
        <v/>
      </c>
      <c r="C149" s="10">
        <f>IF(B149&lt;='Parameters &amp; Formulas'!$B$36,POWER(10,(B149-'Parameters &amp; Formulas'!$B$35)/20),POWER(10,(B149-'Parameters &amp; Formulas'!$B$35+20*LOG10('Parameters &amp; Formulas'!$B$34))/40))</f>
        <v/>
      </c>
      <c r="D149" s="11">
        <f>C149/1000</f>
        <v/>
      </c>
      <c r="E149" s="12">
        <f>IF(B149&lt;='Parameters &amp; Formulas'!$B$36,"Pre-breakpoint (20 log)","Post-breakpoint (40 log)")</f>
        <v/>
      </c>
    </row>
    <row r="150">
      <c r="A150" s="10" t="n">
        <v>6.639195979899498</v>
      </c>
      <c r="B150" s="11">
        <f>'Parameters &amp; Formulas'!$B$32-(A150+'Parameters &amp; Formulas'!$B$29+'Parameters &amp; Formulas'!$B$17+'Parameters &amp; Formulas'!$B$18)</f>
        <v/>
      </c>
      <c r="C150" s="10">
        <f>IF(B150&lt;='Parameters &amp; Formulas'!$B$36,POWER(10,(B150-'Parameters &amp; Formulas'!$B$35)/20),POWER(10,(B150-'Parameters &amp; Formulas'!$B$35+20*LOG10('Parameters &amp; Formulas'!$B$34))/40))</f>
        <v/>
      </c>
      <c r="D150" s="11">
        <f>C150/1000</f>
        <v/>
      </c>
      <c r="E150" s="12">
        <f>IF(B150&lt;='Parameters &amp; Formulas'!$B$36,"Pre-breakpoint (20 log)","Post-breakpoint (40 log)")</f>
        <v/>
      </c>
    </row>
    <row r="151">
      <c r="A151" s="10" t="n">
        <v>6.467839195979899</v>
      </c>
      <c r="B151" s="11">
        <f>'Parameters &amp; Formulas'!$B$32-(A151+'Parameters &amp; Formulas'!$B$29+'Parameters &amp; Formulas'!$B$17+'Parameters &amp; Formulas'!$B$18)</f>
        <v/>
      </c>
      <c r="C151" s="10">
        <f>IF(B151&lt;='Parameters &amp; Formulas'!$B$36,POWER(10,(B151-'Parameters &amp; Formulas'!$B$35)/20),POWER(10,(B151-'Parameters &amp; Formulas'!$B$35+20*LOG10('Parameters &amp; Formulas'!$B$34))/40))</f>
        <v/>
      </c>
      <c r="D151" s="11">
        <f>C151/1000</f>
        <v/>
      </c>
      <c r="E151" s="12">
        <f>IF(B151&lt;='Parameters &amp; Formulas'!$B$36,"Pre-breakpoint (20 log)","Post-breakpoint (40 log)")</f>
        <v/>
      </c>
    </row>
    <row r="152">
      <c r="A152" s="10" t="n">
        <v>6.2964824120603</v>
      </c>
      <c r="B152" s="11">
        <f>'Parameters &amp; Formulas'!$B$32-(A152+'Parameters &amp; Formulas'!$B$29+'Parameters &amp; Formulas'!$B$17+'Parameters &amp; Formulas'!$B$18)</f>
        <v/>
      </c>
      <c r="C152" s="10">
        <f>IF(B152&lt;='Parameters &amp; Formulas'!$B$36,POWER(10,(B152-'Parameters &amp; Formulas'!$B$35)/20),POWER(10,(B152-'Parameters &amp; Formulas'!$B$35+20*LOG10('Parameters &amp; Formulas'!$B$34))/40))</f>
        <v/>
      </c>
      <c r="D152" s="11">
        <f>C152/1000</f>
        <v/>
      </c>
      <c r="E152" s="12">
        <f>IF(B152&lt;='Parameters &amp; Formulas'!$B$36,"Pre-breakpoint (20 log)","Post-breakpoint (40 log)")</f>
        <v/>
      </c>
    </row>
    <row r="153">
      <c r="A153" s="10" t="n">
        <v>6.125125628140704</v>
      </c>
      <c r="B153" s="11">
        <f>'Parameters &amp; Formulas'!$B$32-(A153+'Parameters &amp; Formulas'!$B$29+'Parameters &amp; Formulas'!$B$17+'Parameters &amp; Formulas'!$B$18)</f>
        <v/>
      </c>
      <c r="C153" s="10">
        <f>IF(B153&lt;='Parameters &amp; Formulas'!$B$36,POWER(10,(B153-'Parameters &amp; Formulas'!$B$35)/20),POWER(10,(B153-'Parameters &amp; Formulas'!$B$35+20*LOG10('Parameters &amp; Formulas'!$B$34))/40))</f>
        <v/>
      </c>
      <c r="D153" s="11">
        <f>C153/1000</f>
        <v/>
      </c>
      <c r="E153" s="12">
        <f>IF(B153&lt;='Parameters &amp; Formulas'!$B$36,"Pre-breakpoint (20 log)","Post-breakpoint (40 log)")</f>
        <v/>
      </c>
    </row>
    <row r="154">
      <c r="A154" s="10" t="n">
        <v>5.953768844221106</v>
      </c>
      <c r="B154" s="11">
        <f>'Parameters &amp; Formulas'!$B$32-(A154+'Parameters &amp; Formulas'!$B$29+'Parameters &amp; Formulas'!$B$17+'Parameters &amp; Formulas'!$B$18)</f>
        <v/>
      </c>
      <c r="C154" s="10">
        <f>IF(B154&lt;='Parameters &amp; Formulas'!$B$36,POWER(10,(B154-'Parameters &amp; Formulas'!$B$35)/20),POWER(10,(B154-'Parameters &amp; Formulas'!$B$35+20*LOG10('Parameters &amp; Formulas'!$B$34))/40))</f>
        <v/>
      </c>
      <c r="D154" s="11">
        <f>C154/1000</f>
        <v/>
      </c>
      <c r="E154" s="12">
        <f>IF(B154&lt;='Parameters &amp; Formulas'!$B$36,"Pre-breakpoint (20 log)","Post-breakpoint (40 log)")</f>
        <v/>
      </c>
    </row>
    <row r="155">
      <c r="A155" s="10" t="n">
        <v>5.782412060301507</v>
      </c>
      <c r="B155" s="11">
        <f>'Parameters &amp; Formulas'!$B$32-(A155+'Parameters &amp; Formulas'!$B$29+'Parameters &amp; Formulas'!$B$17+'Parameters &amp; Formulas'!$B$18)</f>
        <v/>
      </c>
      <c r="C155" s="10">
        <f>IF(B155&lt;='Parameters &amp; Formulas'!$B$36,POWER(10,(B155-'Parameters &amp; Formulas'!$B$35)/20),POWER(10,(B155-'Parameters &amp; Formulas'!$B$35+20*LOG10('Parameters &amp; Formulas'!$B$34))/40))</f>
        <v/>
      </c>
      <c r="D155" s="11">
        <f>C155/1000</f>
        <v/>
      </c>
      <c r="E155" s="12">
        <f>IF(B155&lt;='Parameters &amp; Formulas'!$B$36,"Pre-breakpoint (20 log)","Post-breakpoint (40 log)")</f>
        <v/>
      </c>
    </row>
    <row r="156">
      <c r="A156" s="10" t="n">
        <v>5.611055276381908</v>
      </c>
      <c r="B156" s="11">
        <f>'Parameters &amp; Formulas'!$B$32-(A156+'Parameters &amp; Formulas'!$B$29+'Parameters &amp; Formulas'!$B$17+'Parameters &amp; Formulas'!$B$18)</f>
        <v/>
      </c>
      <c r="C156" s="10">
        <f>IF(B156&lt;='Parameters &amp; Formulas'!$B$36,POWER(10,(B156-'Parameters &amp; Formulas'!$B$35)/20),POWER(10,(B156-'Parameters &amp; Formulas'!$B$35+20*LOG10('Parameters &amp; Formulas'!$B$34))/40))</f>
        <v/>
      </c>
      <c r="D156" s="11">
        <f>C156/1000</f>
        <v/>
      </c>
      <c r="E156" s="12">
        <f>IF(B156&lt;='Parameters &amp; Formulas'!$B$36,"Pre-breakpoint (20 log)","Post-breakpoint (40 log)")</f>
        <v/>
      </c>
    </row>
    <row r="157">
      <c r="A157" s="10" t="n">
        <v>5.439698492462313</v>
      </c>
      <c r="B157" s="11">
        <f>'Parameters &amp; Formulas'!$B$32-(A157+'Parameters &amp; Formulas'!$B$29+'Parameters &amp; Formulas'!$B$17+'Parameters &amp; Formulas'!$B$18)</f>
        <v/>
      </c>
      <c r="C157" s="10">
        <f>IF(B157&lt;='Parameters &amp; Formulas'!$B$36,POWER(10,(B157-'Parameters &amp; Formulas'!$B$35)/20),POWER(10,(B157-'Parameters &amp; Formulas'!$B$35+20*LOG10('Parameters &amp; Formulas'!$B$34))/40))</f>
        <v/>
      </c>
      <c r="D157" s="11">
        <f>C157/1000</f>
        <v/>
      </c>
      <c r="E157" s="12">
        <f>IF(B157&lt;='Parameters &amp; Formulas'!$B$36,"Pre-breakpoint (20 log)","Post-breakpoint (40 log)")</f>
        <v/>
      </c>
    </row>
    <row r="158">
      <c r="A158" s="10" t="n">
        <v>5.268341708542714</v>
      </c>
      <c r="B158" s="11">
        <f>'Parameters &amp; Formulas'!$B$32-(A158+'Parameters &amp; Formulas'!$B$29+'Parameters &amp; Formulas'!$B$17+'Parameters &amp; Formulas'!$B$18)</f>
        <v/>
      </c>
      <c r="C158" s="10">
        <f>IF(B158&lt;='Parameters &amp; Formulas'!$B$36,POWER(10,(B158-'Parameters &amp; Formulas'!$B$35)/20),POWER(10,(B158-'Parameters &amp; Formulas'!$B$35+20*LOG10('Parameters &amp; Formulas'!$B$34))/40))</f>
        <v/>
      </c>
      <c r="D158" s="11">
        <f>C158/1000</f>
        <v/>
      </c>
      <c r="E158" s="12">
        <f>IF(B158&lt;='Parameters &amp; Formulas'!$B$36,"Pre-breakpoint (20 log)","Post-breakpoint (40 log)")</f>
        <v/>
      </c>
    </row>
    <row r="159">
      <c r="A159" s="10" t="n">
        <v>5.096984924623115</v>
      </c>
      <c r="B159" s="11">
        <f>'Parameters &amp; Formulas'!$B$32-(A159+'Parameters &amp; Formulas'!$B$29+'Parameters &amp; Formulas'!$B$17+'Parameters &amp; Formulas'!$B$18)</f>
        <v/>
      </c>
      <c r="C159" s="10">
        <f>IF(B159&lt;='Parameters &amp; Formulas'!$B$36,POWER(10,(B159-'Parameters &amp; Formulas'!$B$35)/20),POWER(10,(B159-'Parameters &amp; Formulas'!$B$35+20*LOG10('Parameters &amp; Formulas'!$B$34))/40))</f>
        <v/>
      </c>
      <c r="D159" s="11">
        <f>C159/1000</f>
        <v/>
      </c>
      <c r="E159" s="12">
        <f>IF(B159&lt;='Parameters &amp; Formulas'!$B$36,"Pre-breakpoint (20 log)","Post-breakpoint (40 log)")</f>
        <v/>
      </c>
    </row>
    <row r="160">
      <c r="A160" s="10" t="n">
        <v>4.925628140703516</v>
      </c>
      <c r="B160" s="11">
        <f>'Parameters &amp; Formulas'!$B$32-(A160+'Parameters &amp; Formulas'!$B$29+'Parameters &amp; Formulas'!$B$17+'Parameters &amp; Formulas'!$B$18)</f>
        <v/>
      </c>
      <c r="C160" s="10">
        <f>IF(B160&lt;='Parameters &amp; Formulas'!$B$36,POWER(10,(B160-'Parameters &amp; Formulas'!$B$35)/20),POWER(10,(B160-'Parameters &amp; Formulas'!$B$35+20*LOG10('Parameters &amp; Formulas'!$B$34))/40))</f>
        <v/>
      </c>
      <c r="D160" s="11">
        <f>C160/1000</f>
        <v/>
      </c>
      <c r="E160" s="12">
        <f>IF(B160&lt;='Parameters &amp; Formulas'!$B$36,"Pre-breakpoint (20 log)","Post-breakpoint (40 log)")</f>
        <v/>
      </c>
    </row>
    <row r="161">
      <c r="A161" s="10" t="n">
        <v>4.754271356783921</v>
      </c>
      <c r="B161" s="11">
        <f>'Parameters &amp; Formulas'!$B$32-(A161+'Parameters &amp; Formulas'!$B$29+'Parameters &amp; Formulas'!$B$17+'Parameters &amp; Formulas'!$B$18)</f>
        <v/>
      </c>
      <c r="C161" s="10">
        <f>IF(B161&lt;='Parameters &amp; Formulas'!$B$36,POWER(10,(B161-'Parameters &amp; Formulas'!$B$35)/20),POWER(10,(B161-'Parameters &amp; Formulas'!$B$35+20*LOG10('Parameters &amp; Formulas'!$B$34))/40))</f>
        <v/>
      </c>
      <c r="D161" s="11">
        <f>C161/1000</f>
        <v/>
      </c>
      <c r="E161" s="12">
        <f>IF(B161&lt;='Parameters &amp; Formulas'!$B$36,"Pre-breakpoint (20 log)","Post-breakpoint (40 log)")</f>
        <v/>
      </c>
    </row>
    <row r="162">
      <c r="A162" s="10" t="n">
        <v>4.582914572864322</v>
      </c>
      <c r="B162" s="11">
        <f>'Parameters &amp; Formulas'!$B$32-(A162+'Parameters &amp; Formulas'!$B$29+'Parameters &amp; Formulas'!$B$17+'Parameters &amp; Formulas'!$B$18)</f>
        <v/>
      </c>
      <c r="C162" s="10">
        <f>IF(B162&lt;='Parameters &amp; Formulas'!$B$36,POWER(10,(B162-'Parameters &amp; Formulas'!$B$35)/20),POWER(10,(B162-'Parameters &amp; Formulas'!$B$35+20*LOG10('Parameters &amp; Formulas'!$B$34))/40))</f>
        <v/>
      </c>
      <c r="D162" s="11">
        <f>C162/1000</f>
        <v/>
      </c>
      <c r="E162" s="12">
        <f>IF(B162&lt;='Parameters &amp; Formulas'!$B$36,"Pre-breakpoint (20 log)","Post-breakpoint (40 log)")</f>
        <v/>
      </c>
    </row>
    <row r="163">
      <c r="A163" s="10" t="n">
        <v>4.411557788944723</v>
      </c>
      <c r="B163" s="11">
        <f>'Parameters &amp; Formulas'!$B$32-(A163+'Parameters &amp; Formulas'!$B$29+'Parameters &amp; Formulas'!$B$17+'Parameters &amp; Formulas'!$B$18)</f>
        <v/>
      </c>
      <c r="C163" s="10">
        <f>IF(B163&lt;='Parameters &amp; Formulas'!$B$36,POWER(10,(B163-'Parameters &amp; Formulas'!$B$35)/20),POWER(10,(B163-'Parameters &amp; Formulas'!$B$35+20*LOG10('Parameters &amp; Formulas'!$B$34))/40))</f>
        <v/>
      </c>
      <c r="D163" s="11">
        <f>C163/1000</f>
        <v/>
      </c>
      <c r="E163" s="12">
        <f>IF(B163&lt;='Parameters &amp; Formulas'!$B$36,"Pre-breakpoint (20 log)","Post-breakpoint (40 log)")</f>
        <v/>
      </c>
    </row>
    <row r="164">
      <c r="A164" s="10" t="n">
        <v>4.240201005025124</v>
      </c>
      <c r="B164" s="11">
        <f>'Parameters &amp; Formulas'!$B$32-(A164+'Parameters &amp; Formulas'!$B$29+'Parameters &amp; Formulas'!$B$17+'Parameters &amp; Formulas'!$B$18)</f>
        <v/>
      </c>
      <c r="C164" s="10">
        <f>IF(B164&lt;='Parameters &amp; Formulas'!$B$36,POWER(10,(B164-'Parameters &amp; Formulas'!$B$35)/20),POWER(10,(B164-'Parameters &amp; Formulas'!$B$35+20*LOG10('Parameters &amp; Formulas'!$B$34))/40))</f>
        <v/>
      </c>
      <c r="D164" s="11">
        <f>C164/1000</f>
        <v/>
      </c>
      <c r="E164" s="12">
        <f>IF(B164&lt;='Parameters &amp; Formulas'!$B$36,"Pre-breakpoint (20 log)","Post-breakpoint (40 log)")</f>
        <v/>
      </c>
    </row>
    <row r="165">
      <c r="A165" s="10" t="n">
        <v>4.068844221105525</v>
      </c>
      <c r="B165" s="11">
        <f>'Parameters &amp; Formulas'!$B$32-(A165+'Parameters &amp; Formulas'!$B$29+'Parameters &amp; Formulas'!$B$17+'Parameters &amp; Formulas'!$B$18)</f>
        <v/>
      </c>
      <c r="C165" s="10">
        <f>IF(B165&lt;='Parameters &amp; Formulas'!$B$36,POWER(10,(B165-'Parameters &amp; Formulas'!$B$35)/20),POWER(10,(B165-'Parameters &amp; Formulas'!$B$35+20*LOG10('Parameters &amp; Formulas'!$B$34))/40))</f>
        <v/>
      </c>
      <c r="D165" s="11">
        <f>C165/1000</f>
        <v/>
      </c>
      <c r="E165" s="12">
        <f>IF(B165&lt;='Parameters &amp; Formulas'!$B$36,"Pre-breakpoint (20 log)","Post-breakpoint (40 log)")</f>
        <v/>
      </c>
    </row>
    <row r="166">
      <c r="A166" s="10" t="n">
        <v>3.89748743718593</v>
      </c>
      <c r="B166" s="11">
        <f>'Parameters &amp; Formulas'!$B$32-(A166+'Parameters &amp; Formulas'!$B$29+'Parameters &amp; Formulas'!$B$17+'Parameters &amp; Formulas'!$B$18)</f>
        <v/>
      </c>
      <c r="C166" s="10">
        <f>IF(B166&lt;='Parameters &amp; Formulas'!$B$36,POWER(10,(B166-'Parameters &amp; Formulas'!$B$35)/20),POWER(10,(B166-'Parameters &amp; Formulas'!$B$35+20*LOG10('Parameters &amp; Formulas'!$B$34))/40))</f>
        <v/>
      </c>
      <c r="D166" s="11">
        <f>C166/1000</f>
        <v/>
      </c>
      <c r="E166" s="12">
        <f>IF(B166&lt;='Parameters &amp; Formulas'!$B$36,"Pre-breakpoint (20 log)","Post-breakpoint (40 log)")</f>
        <v/>
      </c>
    </row>
    <row r="167">
      <c r="A167" s="10" t="n">
        <v>3.726130653266331</v>
      </c>
      <c r="B167" s="11">
        <f>'Parameters &amp; Formulas'!$B$32-(A167+'Parameters &amp; Formulas'!$B$29+'Parameters &amp; Formulas'!$B$17+'Parameters &amp; Formulas'!$B$18)</f>
        <v/>
      </c>
      <c r="C167" s="10">
        <f>IF(B167&lt;='Parameters &amp; Formulas'!$B$36,POWER(10,(B167-'Parameters &amp; Formulas'!$B$35)/20),POWER(10,(B167-'Parameters &amp; Formulas'!$B$35+20*LOG10('Parameters &amp; Formulas'!$B$34))/40))</f>
        <v/>
      </c>
      <c r="D167" s="11">
        <f>C167/1000</f>
        <v/>
      </c>
      <c r="E167" s="12">
        <f>IF(B167&lt;='Parameters &amp; Formulas'!$B$36,"Pre-breakpoint (20 log)","Post-breakpoint (40 log)")</f>
        <v/>
      </c>
    </row>
    <row r="168">
      <c r="A168" s="10" t="n">
        <v>3.554773869346732</v>
      </c>
      <c r="B168" s="11">
        <f>'Parameters &amp; Formulas'!$B$32-(A168+'Parameters &amp; Formulas'!$B$29+'Parameters &amp; Formulas'!$B$17+'Parameters &amp; Formulas'!$B$18)</f>
        <v/>
      </c>
      <c r="C168" s="10">
        <f>IF(B168&lt;='Parameters &amp; Formulas'!$B$36,POWER(10,(B168-'Parameters &amp; Formulas'!$B$35)/20),POWER(10,(B168-'Parameters &amp; Formulas'!$B$35+20*LOG10('Parameters &amp; Formulas'!$B$34))/40))</f>
        <v/>
      </c>
      <c r="D168" s="11">
        <f>C168/1000</f>
        <v/>
      </c>
      <c r="E168" s="12">
        <f>IF(B168&lt;='Parameters &amp; Formulas'!$B$36,"Pre-breakpoint (20 log)","Post-breakpoint (40 log)")</f>
        <v/>
      </c>
    </row>
    <row r="169">
      <c r="A169" s="10" t="n">
        <v>3.383417085427133</v>
      </c>
      <c r="B169" s="11">
        <f>'Parameters &amp; Formulas'!$B$32-(A169+'Parameters &amp; Formulas'!$B$29+'Parameters &amp; Formulas'!$B$17+'Parameters &amp; Formulas'!$B$18)</f>
        <v/>
      </c>
      <c r="C169" s="10">
        <f>IF(B169&lt;='Parameters &amp; Formulas'!$B$36,POWER(10,(B169-'Parameters &amp; Formulas'!$B$35)/20),POWER(10,(B169-'Parameters &amp; Formulas'!$B$35+20*LOG10('Parameters &amp; Formulas'!$B$34))/40))</f>
        <v/>
      </c>
      <c r="D169" s="11">
        <f>C169/1000</f>
        <v/>
      </c>
      <c r="E169" s="12">
        <f>IF(B169&lt;='Parameters &amp; Formulas'!$B$36,"Pre-breakpoint (20 log)","Post-breakpoint (40 log)")</f>
        <v/>
      </c>
    </row>
    <row r="170">
      <c r="A170" s="10" t="n">
        <v>3.212060301507538</v>
      </c>
      <c r="B170" s="11">
        <f>'Parameters &amp; Formulas'!$B$32-(A170+'Parameters &amp; Formulas'!$B$29+'Parameters &amp; Formulas'!$B$17+'Parameters &amp; Formulas'!$B$18)</f>
        <v/>
      </c>
      <c r="C170" s="10">
        <f>IF(B170&lt;='Parameters &amp; Formulas'!$B$36,POWER(10,(B170-'Parameters &amp; Formulas'!$B$35)/20),POWER(10,(B170-'Parameters &amp; Formulas'!$B$35+20*LOG10('Parameters &amp; Formulas'!$B$34))/40))</f>
        <v/>
      </c>
      <c r="D170" s="11">
        <f>C170/1000</f>
        <v/>
      </c>
      <c r="E170" s="12">
        <f>IF(B170&lt;='Parameters &amp; Formulas'!$B$36,"Pre-breakpoint (20 log)","Post-breakpoint (40 log)")</f>
        <v/>
      </c>
    </row>
    <row r="171">
      <c r="A171" s="10" t="n">
        <v>3.040703517587939</v>
      </c>
      <c r="B171" s="11">
        <f>'Parameters &amp; Formulas'!$B$32-(A171+'Parameters &amp; Formulas'!$B$29+'Parameters &amp; Formulas'!$B$17+'Parameters &amp; Formulas'!$B$18)</f>
        <v/>
      </c>
      <c r="C171" s="10">
        <f>IF(B171&lt;='Parameters &amp; Formulas'!$B$36,POWER(10,(B171-'Parameters &amp; Formulas'!$B$35)/20),POWER(10,(B171-'Parameters &amp; Formulas'!$B$35+20*LOG10('Parameters &amp; Formulas'!$B$34))/40))</f>
        <v/>
      </c>
      <c r="D171" s="11">
        <f>C171/1000</f>
        <v/>
      </c>
      <c r="E171" s="12">
        <f>IF(B171&lt;='Parameters &amp; Formulas'!$B$36,"Pre-breakpoint (20 log)","Post-breakpoint (40 log)")</f>
        <v/>
      </c>
    </row>
    <row r="172">
      <c r="A172" s="10" t="n">
        <v>2.86934673366834</v>
      </c>
      <c r="B172" s="11">
        <f>'Parameters &amp; Formulas'!$B$32-(A172+'Parameters &amp; Formulas'!$B$29+'Parameters &amp; Formulas'!$B$17+'Parameters &amp; Formulas'!$B$18)</f>
        <v/>
      </c>
      <c r="C172" s="10">
        <f>IF(B172&lt;='Parameters &amp; Formulas'!$B$36,POWER(10,(B172-'Parameters &amp; Formulas'!$B$35)/20),POWER(10,(B172-'Parameters &amp; Formulas'!$B$35+20*LOG10('Parameters &amp; Formulas'!$B$34))/40))</f>
        <v/>
      </c>
      <c r="D172" s="11">
        <f>C172/1000</f>
        <v/>
      </c>
      <c r="E172" s="12">
        <f>IF(B172&lt;='Parameters &amp; Formulas'!$B$36,"Pre-breakpoint (20 log)","Post-breakpoint (40 log)")</f>
        <v/>
      </c>
    </row>
    <row r="173">
      <c r="A173" s="10" t="n">
        <v>2.697989949748742</v>
      </c>
      <c r="B173" s="11">
        <f>'Parameters &amp; Formulas'!$B$32-(A173+'Parameters &amp; Formulas'!$B$29+'Parameters &amp; Formulas'!$B$17+'Parameters &amp; Formulas'!$B$18)</f>
        <v/>
      </c>
      <c r="C173" s="10">
        <f>IF(B173&lt;='Parameters &amp; Formulas'!$B$36,POWER(10,(B173-'Parameters &amp; Formulas'!$B$35)/20),POWER(10,(B173-'Parameters &amp; Formulas'!$B$35+20*LOG10('Parameters &amp; Formulas'!$B$34))/40))</f>
        <v/>
      </c>
      <c r="D173" s="11">
        <f>C173/1000</f>
        <v/>
      </c>
      <c r="E173" s="12">
        <f>IF(B173&lt;='Parameters &amp; Formulas'!$B$36,"Pre-breakpoint (20 log)","Post-breakpoint (40 log)")</f>
        <v/>
      </c>
    </row>
    <row r="174">
      <c r="A174" s="10" t="n">
        <v>2.526633165829146</v>
      </c>
      <c r="B174" s="11">
        <f>'Parameters &amp; Formulas'!$B$32-(A174+'Parameters &amp; Formulas'!$B$29+'Parameters &amp; Formulas'!$B$17+'Parameters &amp; Formulas'!$B$18)</f>
        <v/>
      </c>
      <c r="C174" s="10">
        <f>IF(B174&lt;='Parameters &amp; Formulas'!$B$36,POWER(10,(B174-'Parameters &amp; Formulas'!$B$35)/20),POWER(10,(B174-'Parameters &amp; Formulas'!$B$35+20*LOG10('Parameters &amp; Formulas'!$B$34))/40))</f>
        <v/>
      </c>
      <c r="D174" s="11">
        <f>C174/1000</f>
        <v/>
      </c>
      <c r="E174" s="12">
        <f>IF(B174&lt;='Parameters &amp; Formulas'!$B$36,"Pre-breakpoint (20 log)","Post-breakpoint (40 log)")</f>
        <v/>
      </c>
    </row>
    <row r="175">
      <c r="A175" s="10" t="n">
        <v>2.355276381909547</v>
      </c>
      <c r="B175" s="11">
        <f>'Parameters &amp; Formulas'!$B$32-(A175+'Parameters &amp; Formulas'!$B$29+'Parameters &amp; Formulas'!$B$17+'Parameters &amp; Formulas'!$B$18)</f>
        <v/>
      </c>
      <c r="C175" s="10">
        <f>IF(B175&lt;='Parameters &amp; Formulas'!$B$36,POWER(10,(B175-'Parameters &amp; Formulas'!$B$35)/20),POWER(10,(B175-'Parameters &amp; Formulas'!$B$35+20*LOG10('Parameters &amp; Formulas'!$B$34))/40))</f>
        <v/>
      </c>
      <c r="D175" s="11">
        <f>C175/1000</f>
        <v/>
      </c>
      <c r="E175" s="12">
        <f>IF(B175&lt;='Parameters &amp; Formulas'!$B$36,"Pre-breakpoint (20 log)","Post-breakpoint (40 log)")</f>
        <v/>
      </c>
    </row>
    <row r="176">
      <c r="A176" s="10" t="n">
        <v>2.183919597989949</v>
      </c>
      <c r="B176" s="11">
        <f>'Parameters &amp; Formulas'!$B$32-(A176+'Parameters &amp; Formulas'!$B$29+'Parameters &amp; Formulas'!$B$17+'Parameters &amp; Formulas'!$B$18)</f>
        <v/>
      </c>
      <c r="C176" s="10">
        <f>IF(B176&lt;='Parameters &amp; Formulas'!$B$36,POWER(10,(B176-'Parameters &amp; Formulas'!$B$35)/20),POWER(10,(B176-'Parameters &amp; Formulas'!$B$35+20*LOG10('Parameters &amp; Formulas'!$B$34))/40))</f>
        <v/>
      </c>
      <c r="D176" s="11">
        <f>C176/1000</f>
        <v/>
      </c>
      <c r="E176" s="12">
        <f>IF(B176&lt;='Parameters &amp; Formulas'!$B$36,"Pre-breakpoint (20 log)","Post-breakpoint (40 log)")</f>
        <v/>
      </c>
    </row>
    <row r="177">
      <c r="A177" s="10" t="n">
        <v>2.01256281407035</v>
      </c>
      <c r="B177" s="11">
        <f>'Parameters &amp; Formulas'!$B$32-(A177+'Parameters &amp; Formulas'!$B$29+'Parameters &amp; Formulas'!$B$17+'Parameters &amp; Formulas'!$B$18)</f>
        <v/>
      </c>
      <c r="C177" s="10">
        <f>IF(B177&lt;='Parameters &amp; Formulas'!$B$36,POWER(10,(B177-'Parameters &amp; Formulas'!$B$35)/20),POWER(10,(B177-'Parameters &amp; Formulas'!$B$35+20*LOG10('Parameters &amp; Formulas'!$B$34))/40))</f>
        <v/>
      </c>
      <c r="D177" s="11">
        <f>C177/1000</f>
        <v/>
      </c>
      <c r="E177" s="12">
        <f>IF(B177&lt;='Parameters &amp; Formulas'!$B$36,"Pre-breakpoint (20 log)","Post-breakpoint (40 log)")</f>
        <v/>
      </c>
    </row>
    <row r="178">
      <c r="A178" s="10" t="n">
        <v>1.841206030150754</v>
      </c>
      <c r="B178" s="11">
        <f>'Parameters &amp; Formulas'!$B$32-(A178+'Parameters &amp; Formulas'!$B$29+'Parameters &amp; Formulas'!$B$17+'Parameters &amp; Formulas'!$B$18)</f>
        <v/>
      </c>
      <c r="C178" s="10">
        <f>IF(B178&lt;='Parameters &amp; Formulas'!$B$36,POWER(10,(B178-'Parameters &amp; Formulas'!$B$35)/20),POWER(10,(B178-'Parameters &amp; Formulas'!$B$35+20*LOG10('Parameters &amp; Formulas'!$B$34))/40))</f>
        <v/>
      </c>
      <c r="D178" s="11">
        <f>C178/1000</f>
        <v/>
      </c>
      <c r="E178" s="12">
        <f>IF(B178&lt;='Parameters &amp; Formulas'!$B$36,"Pre-breakpoint (20 log)","Post-breakpoint (40 log)")</f>
        <v/>
      </c>
    </row>
    <row r="179">
      <c r="A179" s="10" t="n">
        <v>1.669849246231156</v>
      </c>
      <c r="B179" s="11">
        <f>'Parameters &amp; Formulas'!$B$32-(A179+'Parameters &amp; Formulas'!$B$29+'Parameters &amp; Formulas'!$B$17+'Parameters &amp; Formulas'!$B$18)</f>
        <v/>
      </c>
      <c r="C179" s="10">
        <f>IF(B179&lt;='Parameters &amp; Formulas'!$B$36,POWER(10,(B179-'Parameters &amp; Formulas'!$B$35)/20),POWER(10,(B179-'Parameters &amp; Formulas'!$B$35+20*LOG10('Parameters &amp; Formulas'!$B$34))/40))</f>
        <v/>
      </c>
      <c r="D179" s="11">
        <f>C179/1000</f>
        <v/>
      </c>
      <c r="E179" s="12">
        <f>IF(B179&lt;='Parameters &amp; Formulas'!$B$36,"Pre-breakpoint (20 log)","Post-breakpoint (40 log)")</f>
        <v/>
      </c>
    </row>
    <row r="180">
      <c r="A180" s="10" t="n">
        <v>1.498492462311557</v>
      </c>
      <c r="B180" s="11">
        <f>'Parameters &amp; Formulas'!$B$32-(A180+'Parameters &amp; Formulas'!$B$29+'Parameters &amp; Formulas'!$B$17+'Parameters &amp; Formulas'!$B$18)</f>
        <v/>
      </c>
      <c r="C180" s="10">
        <f>IF(B180&lt;='Parameters &amp; Formulas'!$B$36,POWER(10,(B180-'Parameters &amp; Formulas'!$B$35)/20),POWER(10,(B180-'Parameters &amp; Formulas'!$B$35+20*LOG10('Parameters &amp; Formulas'!$B$34))/40))</f>
        <v/>
      </c>
      <c r="D180" s="11">
        <f>C180/1000</f>
        <v/>
      </c>
      <c r="E180" s="12">
        <f>IF(B180&lt;='Parameters &amp; Formulas'!$B$36,"Pre-breakpoint (20 log)","Post-breakpoint (40 log)")</f>
        <v/>
      </c>
    </row>
    <row r="181">
      <c r="A181" s="10" t="n">
        <v>1.327135678391958</v>
      </c>
      <c r="B181" s="11">
        <f>'Parameters &amp; Formulas'!$B$32-(A181+'Parameters &amp; Formulas'!$B$29+'Parameters &amp; Formulas'!$B$17+'Parameters &amp; Formulas'!$B$18)</f>
        <v/>
      </c>
      <c r="C181" s="10">
        <f>IF(B181&lt;='Parameters &amp; Formulas'!$B$36,POWER(10,(B181-'Parameters &amp; Formulas'!$B$35)/20),POWER(10,(B181-'Parameters &amp; Formulas'!$B$35+20*LOG10('Parameters &amp; Formulas'!$B$34))/40))</f>
        <v/>
      </c>
      <c r="D181" s="11">
        <f>C181/1000</f>
        <v/>
      </c>
      <c r="E181" s="12">
        <f>IF(B181&lt;='Parameters &amp; Formulas'!$B$36,"Pre-breakpoint (20 log)","Post-breakpoint (40 log)")</f>
        <v/>
      </c>
    </row>
    <row r="182">
      <c r="A182" s="10" t="n">
        <v>1.155778894472363</v>
      </c>
      <c r="B182" s="11">
        <f>'Parameters &amp; Formulas'!$B$32-(A182+'Parameters &amp; Formulas'!$B$29+'Parameters &amp; Formulas'!$B$17+'Parameters &amp; Formulas'!$B$18)</f>
        <v/>
      </c>
      <c r="C182" s="10">
        <f>IF(B182&lt;='Parameters &amp; Formulas'!$B$36,POWER(10,(B182-'Parameters &amp; Formulas'!$B$35)/20),POWER(10,(B182-'Parameters &amp; Formulas'!$B$35+20*LOG10('Parameters &amp; Formulas'!$B$34))/40))</f>
        <v/>
      </c>
      <c r="D182" s="11">
        <f>C182/1000</f>
        <v/>
      </c>
      <c r="E182" s="12">
        <f>IF(B182&lt;='Parameters &amp; Formulas'!$B$36,"Pre-breakpoint (20 log)","Post-breakpoint (40 log)")</f>
        <v/>
      </c>
    </row>
    <row r="183">
      <c r="A183" s="10" t="n">
        <v>0.9844221105527637</v>
      </c>
      <c r="B183" s="11">
        <f>'Parameters &amp; Formulas'!$B$32-(A183+'Parameters &amp; Formulas'!$B$29+'Parameters &amp; Formulas'!$B$17+'Parameters &amp; Formulas'!$B$18)</f>
        <v/>
      </c>
      <c r="C183" s="10">
        <f>IF(B183&lt;='Parameters &amp; Formulas'!$B$36,POWER(10,(B183-'Parameters &amp; Formulas'!$B$35)/20),POWER(10,(B183-'Parameters &amp; Formulas'!$B$35+20*LOG10('Parameters &amp; Formulas'!$B$34))/40))</f>
        <v/>
      </c>
      <c r="D183" s="11">
        <f>C183/1000</f>
        <v/>
      </c>
      <c r="E183" s="12">
        <f>IF(B183&lt;='Parameters &amp; Formulas'!$B$36,"Pre-breakpoint (20 log)","Post-breakpoint (40 log)")</f>
        <v/>
      </c>
    </row>
    <row r="184">
      <c r="A184" s="10" t="n">
        <v>0.8130653266331649</v>
      </c>
      <c r="B184" s="11">
        <f>'Parameters &amp; Formulas'!$B$32-(A184+'Parameters &amp; Formulas'!$B$29+'Parameters &amp; Formulas'!$B$17+'Parameters &amp; Formulas'!$B$18)</f>
        <v/>
      </c>
      <c r="C184" s="10">
        <f>IF(B184&lt;='Parameters &amp; Formulas'!$B$36,POWER(10,(B184-'Parameters &amp; Formulas'!$B$35)/20),POWER(10,(B184-'Parameters &amp; Formulas'!$B$35+20*LOG10('Parameters &amp; Formulas'!$B$34))/40))</f>
        <v/>
      </c>
      <c r="D184" s="11">
        <f>C184/1000</f>
        <v/>
      </c>
      <c r="E184" s="12">
        <f>IF(B184&lt;='Parameters &amp; Formulas'!$B$36,"Pre-breakpoint (20 log)","Post-breakpoint (40 log)")</f>
        <v/>
      </c>
    </row>
    <row r="185">
      <c r="A185" s="10" t="n">
        <v>0.641708542713566</v>
      </c>
      <c r="B185" s="11">
        <f>'Parameters &amp; Formulas'!$B$32-(A185+'Parameters &amp; Formulas'!$B$29+'Parameters &amp; Formulas'!$B$17+'Parameters &amp; Formulas'!$B$18)</f>
        <v/>
      </c>
      <c r="C185" s="10">
        <f>IF(B185&lt;='Parameters &amp; Formulas'!$B$36,POWER(10,(B185-'Parameters &amp; Formulas'!$B$35)/20),POWER(10,(B185-'Parameters &amp; Formulas'!$B$35+20*LOG10('Parameters &amp; Formulas'!$B$34))/40))</f>
        <v/>
      </c>
      <c r="D185" s="11">
        <f>C185/1000</f>
        <v/>
      </c>
      <c r="E185" s="12">
        <f>IF(B185&lt;='Parameters &amp; Formulas'!$B$36,"Pre-breakpoint (20 log)","Post-breakpoint (40 log)")</f>
        <v/>
      </c>
    </row>
    <row r="186">
      <c r="A186" s="10" t="n">
        <v>0.4703517587939707</v>
      </c>
      <c r="B186" s="11">
        <f>'Parameters &amp; Formulas'!$B$32-(A186+'Parameters &amp; Formulas'!$B$29+'Parameters &amp; Formulas'!$B$17+'Parameters &amp; Formulas'!$B$18)</f>
        <v/>
      </c>
      <c r="C186" s="10">
        <f>IF(B186&lt;='Parameters &amp; Formulas'!$B$36,POWER(10,(B186-'Parameters &amp; Formulas'!$B$35)/20),POWER(10,(B186-'Parameters &amp; Formulas'!$B$35+20*LOG10('Parameters &amp; Formulas'!$B$34))/40))</f>
        <v/>
      </c>
      <c r="D186" s="11">
        <f>C186/1000</f>
        <v/>
      </c>
      <c r="E186" s="12">
        <f>IF(B186&lt;='Parameters &amp; Formulas'!$B$36,"Pre-breakpoint (20 log)","Post-breakpoint (40 log)")</f>
        <v/>
      </c>
    </row>
    <row r="187">
      <c r="A187" s="10" t="n">
        <v>0.2989949748743719</v>
      </c>
      <c r="B187" s="11">
        <f>'Parameters &amp; Formulas'!$B$32-(A187+'Parameters &amp; Formulas'!$B$29+'Parameters &amp; Formulas'!$B$17+'Parameters &amp; Formulas'!$B$18)</f>
        <v/>
      </c>
      <c r="C187" s="10">
        <f>IF(B187&lt;='Parameters &amp; Formulas'!$B$36,POWER(10,(B187-'Parameters &amp; Formulas'!$B$35)/20),POWER(10,(B187-'Parameters &amp; Formulas'!$B$35+20*LOG10('Parameters &amp; Formulas'!$B$34))/40))</f>
        <v/>
      </c>
      <c r="D187" s="11">
        <f>C187/1000</f>
        <v/>
      </c>
      <c r="E187" s="12">
        <f>IF(B187&lt;='Parameters &amp; Formulas'!$B$36,"Pre-breakpoint (20 log)","Post-breakpoint (40 log)")</f>
        <v/>
      </c>
    </row>
    <row r="188">
      <c r="A188" s="10" t="n">
        <v>0.127638190954773</v>
      </c>
      <c r="B188" s="11">
        <f>'Parameters &amp; Formulas'!$B$32-(A188+'Parameters &amp; Formulas'!$B$29+'Parameters &amp; Formulas'!$B$17+'Parameters &amp; Formulas'!$B$18)</f>
        <v/>
      </c>
      <c r="C188" s="10">
        <f>IF(B188&lt;='Parameters &amp; Formulas'!$B$36,POWER(10,(B188-'Parameters &amp; Formulas'!$B$35)/20),POWER(10,(B188-'Parameters &amp; Formulas'!$B$35+20*LOG10('Parameters &amp; Formulas'!$B$34))/40))</f>
        <v/>
      </c>
      <c r="D188" s="11">
        <f>C188/1000</f>
        <v/>
      </c>
      <c r="E188" s="12">
        <f>IF(B188&lt;='Parameters &amp; Formulas'!$B$36,"Pre-breakpoint (20 log)","Post-breakpoint (40 log)")</f>
        <v/>
      </c>
    </row>
    <row r="189">
      <c r="A189" s="10" t="n">
        <v>-0.04371859296482228</v>
      </c>
      <c r="B189" s="11">
        <f>'Parameters &amp; Formulas'!$B$32-(A189+'Parameters &amp; Formulas'!$B$29+'Parameters &amp; Formulas'!$B$17+'Parameters &amp; Formulas'!$B$18)</f>
        <v/>
      </c>
      <c r="C189" s="10">
        <f>IF(B189&lt;='Parameters &amp; Formulas'!$B$36,POWER(10,(B189-'Parameters &amp; Formulas'!$B$35)/20),POWER(10,(B189-'Parameters &amp; Formulas'!$B$35+20*LOG10('Parameters &amp; Formulas'!$B$34))/40))</f>
        <v/>
      </c>
      <c r="D189" s="11">
        <f>C189/1000</f>
        <v/>
      </c>
      <c r="E189" s="12">
        <f>IF(B189&lt;='Parameters &amp; Formulas'!$B$36,"Pre-breakpoint (20 log)","Post-breakpoint (40 log)")</f>
        <v/>
      </c>
    </row>
    <row r="190">
      <c r="A190" s="10" t="n">
        <v>-0.2150753768844211</v>
      </c>
      <c r="B190" s="11">
        <f>'Parameters &amp; Formulas'!$B$32-(A190+'Parameters &amp; Formulas'!$B$29+'Parameters &amp; Formulas'!$B$17+'Parameters &amp; Formulas'!$B$18)</f>
        <v/>
      </c>
      <c r="C190" s="10">
        <f>IF(B190&lt;='Parameters &amp; Formulas'!$B$36,POWER(10,(B190-'Parameters &amp; Formulas'!$B$35)/20),POWER(10,(B190-'Parameters &amp; Formulas'!$B$35+20*LOG10('Parameters &amp; Formulas'!$B$34))/40))</f>
        <v/>
      </c>
      <c r="D190" s="11">
        <f>C190/1000</f>
        <v/>
      </c>
      <c r="E190" s="12">
        <f>IF(B190&lt;='Parameters &amp; Formulas'!$B$36,"Pre-breakpoint (20 log)","Post-breakpoint (40 log)")</f>
        <v/>
      </c>
    </row>
    <row r="191">
      <c r="A191" s="10" t="n">
        <v>-0.38643216080402</v>
      </c>
      <c r="B191" s="11">
        <f>'Parameters &amp; Formulas'!$B$32-(A191+'Parameters &amp; Formulas'!$B$29+'Parameters &amp; Formulas'!$B$17+'Parameters &amp; Formulas'!$B$18)</f>
        <v/>
      </c>
      <c r="C191" s="10">
        <f>IF(B191&lt;='Parameters &amp; Formulas'!$B$36,POWER(10,(B191-'Parameters &amp; Formulas'!$B$35)/20),POWER(10,(B191-'Parameters &amp; Formulas'!$B$35+20*LOG10('Parameters &amp; Formulas'!$B$34))/40))</f>
        <v/>
      </c>
      <c r="D191" s="11">
        <f>C191/1000</f>
        <v/>
      </c>
      <c r="E191" s="12">
        <f>IF(B191&lt;='Parameters &amp; Formulas'!$B$36,"Pre-breakpoint (20 log)","Post-breakpoint (40 log)")</f>
        <v/>
      </c>
    </row>
    <row r="192">
      <c r="A192" s="10" t="n">
        <v>-0.5577889447236188</v>
      </c>
      <c r="B192" s="11">
        <f>'Parameters &amp; Formulas'!$B$32-(A192+'Parameters &amp; Formulas'!$B$29+'Parameters &amp; Formulas'!$B$17+'Parameters &amp; Formulas'!$B$18)</f>
        <v/>
      </c>
      <c r="C192" s="10">
        <f>IF(B192&lt;='Parameters &amp; Formulas'!$B$36,POWER(10,(B192-'Parameters &amp; Formulas'!$B$35)/20),POWER(10,(B192-'Parameters &amp; Formulas'!$B$35+20*LOG10('Parameters &amp; Formulas'!$B$34))/40))</f>
        <v/>
      </c>
      <c r="D192" s="11">
        <f>C192/1000</f>
        <v/>
      </c>
      <c r="E192" s="12">
        <f>IF(B192&lt;='Parameters &amp; Formulas'!$B$36,"Pre-breakpoint (20 log)","Post-breakpoint (40 log)")</f>
        <v/>
      </c>
    </row>
    <row r="193">
      <c r="A193" s="10" t="n">
        <v>-0.7291457286432177</v>
      </c>
      <c r="B193" s="11">
        <f>'Parameters &amp; Formulas'!$B$32-(A193+'Parameters &amp; Formulas'!$B$29+'Parameters &amp; Formulas'!$B$17+'Parameters &amp; Formulas'!$B$18)</f>
        <v/>
      </c>
      <c r="C193" s="10">
        <f>IF(B193&lt;='Parameters &amp; Formulas'!$B$36,POWER(10,(B193-'Parameters &amp; Formulas'!$B$35)/20),POWER(10,(B193-'Parameters &amp; Formulas'!$B$35+20*LOG10('Parameters &amp; Formulas'!$B$34))/40))</f>
        <v/>
      </c>
      <c r="D193" s="11">
        <f>C193/1000</f>
        <v/>
      </c>
      <c r="E193" s="12">
        <f>IF(B193&lt;='Parameters &amp; Formulas'!$B$36,"Pre-breakpoint (20 log)","Post-breakpoint (40 log)")</f>
        <v/>
      </c>
    </row>
    <row r="194">
      <c r="A194" s="10" t="n">
        <v>-0.9005025125628165</v>
      </c>
      <c r="B194" s="11">
        <f>'Parameters &amp; Formulas'!$B$32-(A194+'Parameters &amp; Formulas'!$B$29+'Parameters &amp; Formulas'!$B$17+'Parameters &amp; Formulas'!$B$18)</f>
        <v/>
      </c>
      <c r="C194" s="10">
        <f>IF(B194&lt;='Parameters &amp; Formulas'!$B$36,POWER(10,(B194-'Parameters &amp; Formulas'!$B$35)/20),POWER(10,(B194-'Parameters &amp; Formulas'!$B$35+20*LOG10('Parameters &amp; Formulas'!$B$34))/40))</f>
        <v/>
      </c>
      <c r="D194" s="11">
        <f>C194/1000</f>
        <v/>
      </c>
      <c r="E194" s="12">
        <f>IF(B194&lt;='Parameters &amp; Formulas'!$B$36,"Pre-breakpoint (20 log)","Post-breakpoint (40 log)")</f>
        <v/>
      </c>
    </row>
    <row r="195">
      <c r="A195" s="10" t="n">
        <v>-1.071859296482415</v>
      </c>
      <c r="B195" s="11">
        <f>'Parameters &amp; Formulas'!$B$32-(A195+'Parameters &amp; Formulas'!$B$29+'Parameters &amp; Formulas'!$B$17+'Parameters &amp; Formulas'!$B$18)</f>
        <v/>
      </c>
      <c r="C195" s="10">
        <f>IF(B195&lt;='Parameters &amp; Formulas'!$B$36,POWER(10,(B195-'Parameters &amp; Formulas'!$B$35)/20),POWER(10,(B195-'Parameters &amp; Formulas'!$B$35+20*LOG10('Parameters &amp; Formulas'!$B$34))/40))</f>
        <v/>
      </c>
      <c r="D195" s="11">
        <f>C195/1000</f>
        <v/>
      </c>
      <c r="E195" s="12">
        <f>IF(B195&lt;='Parameters &amp; Formulas'!$B$36,"Pre-breakpoint (20 log)","Post-breakpoint (40 log)")</f>
        <v/>
      </c>
    </row>
    <row r="196">
      <c r="A196" s="10" t="n">
        <v>-1.243216080402014</v>
      </c>
      <c r="B196" s="11">
        <f>'Parameters &amp; Formulas'!$B$32-(A196+'Parameters &amp; Formulas'!$B$29+'Parameters &amp; Formulas'!$B$17+'Parameters &amp; Formulas'!$B$18)</f>
        <v/>
      </c>
      <c r="C196" s="10">
        <f>IF(B196&lt;='Parameters &amp; Formulas'!$B$36,POWER(10,(B196-'Parameters &amp; Formulas'!$B$35)/20),POWER(10,(B196-'Parameters &amp; Formulas'!$B$35+20*LOG10('Parameters &amp; Formulas'!$B$34))/40))</f>
        <v/>
      </c>
      <c r="D196" s="11">
        <f>C196/1000</f>
        <v/>
      </c>
      <c r="E196" s="12">
        <f>IF(B196&lt;='Parameters &amp; Formulas'!$B$36,"Pre-breakpoint (20 log)","Post-breakpoint (40 log)")</f>
        <v/>
      </c>
    </row>
    <row r="197">
      <c r="A197" s="10" t="n">
        <v>-1.414572864321606</v>
      </c>
      <c r="B197" s="11">
        <f>'Parameters &amp; Formulas'!$B$32-(A197+'Parameters &amp; Formulas'!$B$29+'Parameters &amp; Formulas'!$B$17+'Parameters &amp; Formulas'!$B$18)</f>
        <v/>
      </c>
      <c r="C197" s="10">
        <f>IF(B197&lt;='Parameters &amp; Formulas'!$B$36,POWER(10,(B197-'Parameters &amp; Formulas'!$B$35)/20),POWER(10,(B197-'Parameters &amp; Formulas'!$B$35+20*LOG10('Parameters &amp; Formulas'!$B$34))/40))</f>
        <v/>
      </c>
      <c r="D197" s="11">
        <f>C197/1000</f>
        <v/>
      </c>
      <c r="E197" s="12">
        <f>IF(B197&lt;='Parameters &amp; Formulas'!$B$36,"Pre-breakpoint (20 log)","Post-breakpoint (40 log)")</f>
        <v/>
      </c>
    </row>
    <row r="198">
      <c r="A198" s="10" t="n">
        <v>-1.585929648241205</v>
      </c>
      <c r="B198" s="11">
        <f>'Parameters &amp; Formulas'!$B$32-(A198+'Parameters &amp; Formulas'!$B$29+'Parameters &amp; Formulas'!$B$17+'Parameters &amp; Formulas'!$B$18)</f>
        <v/>
      </c>
      <c r="C198" s="10">
        <f>IF(B198&lt;='Parameters &amp; Formulas'!$B$36,POWER(10,(B198-'Parameters &amp; Formulas'!$B$35)/20),POWER(10,(B198-'Parameters &amp; Formulas'!$B$35+20*LOG10('Parameters &amp; Formulas'!$B$34))/40))</f>
        <v/>
      </c>
      <c r="D198" s="11">
        <f>C198/1000</f>
        <v/>
      </c>
      <c r="E198" s="12">
        <f>IF(B198&lt;='Parameters &amp; Formulas'!$B$36,"Pre-breakpoint (20 log)","Post-breakpoint (40 log)")</f>
        <v/>
      </c>
    </row>
    <row r="199">
      <c r="A199" s="10" t="n">
        <v>-1.757286432160804</v>
      </c>
      <c r="B199" s="11">
        <f>'Parameters &amp; Formulas'!$B$32-(A199+'Parameters &amp; Formulas'!$B$29+'Parameters &amp; Formulas'!$B$17+'Parameters &amp; Formulas'!$B$18)</f>
        <v/>
      </c>
      <c r="C199" s="10">
        <f>IF(B199&lt;='Parameters &amp; Formulas'!$B$36,POWER(10,(B199-'Parameters &amp; Formulas'!$B$35)/20),POWER(10,(B199-'Parameters &amp; Formulas'!$B$35+20*LOG10('Parameters &amp; Formulas'!$B$34))/40))</f>
        <v/>
      </c>
      <c r="D199" s="11">
        <f>C199/1000</f>
        <v/>
      </c>
      <c r="E199" s="12">
        <f>IF(B199&lt;='Parameters &amp; Formulas'!$B$36,"Pre-breakpoint (20 log)","Post-breakpoint (40 log)")</f>
        <v/>
      </c>
    </row>
    <row r="200">
      <c r="A200" s="10" t="n">
        <v>-1.928643216080403</v>
      </c>
      <c r="B200" s="11">
        <f>'Parameters &amp; Formulas'!$B$32-(A200+'Parameters &amp; Formulas'!$B$29+'Parameters &amp; Formulas'!$B$17+'Parameters &amp; Formulas'!$B$18)</f>
        <v/>
      </c>
      <c r="C200" s="10">
        <f>IF(B200&lt;='Parameters &amp; Formulas'!$B$36,POWER(10,(B200-'Parameters &amp; Formulas'!$B$35)/20),POWER(10,(B200-'Parameters &amp; Formulas'!$B$35+20*LOG10('Parameters &amp; Formulas'!$B$34))/40))</f>
        <v/>
      </c>
      <c r="D200" s="11">
        <f>C200/1000</f>
        <v/>
      </c>
      <c r="E200" s="12">
        <f>IF(B200&lt;='Parameters &amp; Formulas'!$B$36,"Pre-breakpoint (20 log)","Post-breakpoint (40 log)")</f>
        <v/>
      </c>
    </row>
    <row r="201">
      <c r="A201" s="10" t="n">
        <v>-2.1</v>
      </c>
      <c r="B201" s="11">
        <f>'Parameters &amp; Formulas'!$B$32-(A201+'Parameters &amp; Formulas'!$B$29+'Parameters &amp; Formulas'!$B$17+'Parameters &amp; Formulas'!$B$18)</f>
        <v/>
      </c>
      <c r="C201" s="10">
        <f>IF(B201&lt;='Parameters &amp; Formulas'!$B$36,POWER(10,(B201-'Parameters &amp; Formulas'!$B$35)/20),POWER(10,(B201-'Parameters &amp; Formulas'!$B$35+20*LOG10('Parameters &amp; Formulas'!$B$34))/40))</f>
        <v/>
      </c>
      <c r="D201" s="11">
        <f>C201/1000</f>
        <v/>
      </c>
      <c r="E201" s="12">
        <f>IF(B201&lt;='Parameters &amp; Formulas'!$B$36,"Pre-breakpoint (20 log)","Post-breakpoint (40 log)")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8" customWidth="1" min="4" max="4"/>
    <col width="25" customWidth="1" min="5" max="5"/>
  </cols>
  <sheetData>
    <row r="1">
      <c r="A1" s="9" t="inlineStr">
        <is>
          <t>Required SNR (dB)</t>
        </is>
      </c>
      <c r="B1" s="9" t="inlineStr">
        <is>
          <t>UL L_max (dB)</t>
        </is>
      </c>
      <c r="C1" s="9" t="inlineStr">
        <is>
          <t>UL Radius (m)</t>
        </is>
      </c>
      <c r="D1" s="9" t="inlineStr">
        <is>
          <t>UL Radius (km)</t>
        </is>
      </c>
      <c r="E1" s="9" t="inlineStr">
        <is>
          <t>Formula Used</t>
        </is>
      </c>
    </row>
    <row r="2">
      <c r="A2" s="10" t="n">
        <v>32</v>
      </c>
      <c r="B2" s="11">
        <f>'Parameters &amp; Formulas'!$B$53-(A2+'Parameters &amp; Formulas'!$B$29+'Parameters &amp; Formulas'!$B$17+'Parameters &amp; Formulas'!$B$18)</f>
        <v/>
      </c>
      <c r="C2" s="10">
        <f>IF(B2&lt;='Parameters &amp; Formulas'!$B$36,POWER(10,(B2-'Parameters &amp; Formulas'!$B$35)/20),POWER(10,(B2-'Parameters &amp; Formulas'!$B$35+20*LOG10('Parameters &amp; Formulas'!$B$34))/40))</f>
        <v/>
      </c>
      <c r="D2" s="11">
        <f>C2/1000</f>
        <v/>
      </c>
      <c r="E2" s="12">
        <f>IF(B2&lt;='Parameters &amp; Formulas'!$B$36,"Pre-breakpoint (20 log)","Post-breakpoint (40 log)")</f>
        <v/>
      </c>
    </row>
    <row r="3">
      <c r="A3" s="10" t="n">
        <v>31.8286432160804</v>
      </c>
      <c r="B3" s="11">
        <f>'Parameters &amp; Formulas'!$B$53-(A3+'Parameters &amp; Formulas'!$B$29+'Parameters &amp; Formulas'!$B$17+'Parameters &amp; Formulas'!$B$18)</f>
        <v/>
      </c>
      <c r="C3" s="10">
        <f>IF(B3&lt;='Parameters &amp; Formulas'!$B$36,POWER(10,(B3-'Parameters &amp; Formulas'!$B$35)/20),POWER(10,(B3-'Parameters &amp; Formulas'!$B$35+20*LOG10('Parameters &amp; Formulas'!$B$34))/40))</f>
        <v/>
      </c>
      <c r="D3" s="11">
        <f>C3/1000</f>
        <v/>
      </c>
      <c r="E3" s="12">
        <f>IF(B3&lt;='Parameters &amp; Formulas'!$B$36,"Pre-breakpoint (20 log)","Post-breakpoint (40 log)")</f>
        <v/>
      </c>
    </row>
    <row r="4">
      <c r="A4" s="10" t="n">
        <v>31.6572864321608</v>
      </c>
      <c r="B4" s="11">
        <f>'Parameters &amp; Formulas'!$B$53-(A4+'Parameters &amp; Formulas'!$B$29+'Parameters &amp; Formulas'!$B$17+'Parameters &amp; Formulas'!$B$18)</f>
        <v/>
      </c>
      <c r="C4" s="10">
        <f>IF(B4&lt;='Parameters &amp; Formulas'!$B$36,POWER(10,(B4-'Parameters &amp; Formulas'!$B$35)/20),POWER(10,(B4-'Parameters &amp; Formulas'!$B$35+20*LOG10('Parameters &amp; Formulas'!$B$34))/40))</f>
        <v/>
      </c>
      <c r="D4" s="11">
        <f>C4/1000</f>
        <v/>
      </c>
      <c r="E4" s="12">
        <f>IF(B4&lt;='Parameters &amp; Formulas'!$B$36,"Pre-breakpoint (20 log)","Post-breakpoint (40 log)")</f>
        <v/>
      </c>
    </row>
    <row r="5">
      <c r="A5" s="10" t="n">
        <v>31.48592964824121</v>
      </c>
      <c r="B5" s="11">
        <f>'Parameters &amp; Formulas'!$B$53-(A5+'Parameters &amp; Formulas'!$B$29+'Parameters &amp; Formulas'!$B$17+'Parameters &amp; Formulas'!$B$18)</f>
        <v/>
      </c>
      <c r="C5" s="10">
        <f>IF(B5&lt;='Parameters &amp; Formulas'!$B$36,POWER(10,(B5-'Parameters &amp; Formulas'!$B$35)/20),POWER(10,(B5-'Parameters &amp; Formulas'!$B$35+20*LOG10('Parameters &amp; Formulas'!$B$34))/40))</f>
        <v/>
      </c>
      <c r="D5" s="11">
        <f>C5/1000</f>
        <v/>
      </c>
      <c r="E5" s="12">
        <f>IF(B5&lt;='Parameters &amp; Formulas'!$B$36,"Pre-breakpoint (20 log)","Post-breakpoint (40 log)")</f>
        <v/>
      </c>
    </row>
    <row r="6">
      <c r="A6" s="10" t="n">
        <v>31.31457286432161</v>
      </c>
      <c r="B6" s="11">
        <f>'Parameters &amp; Formulas'!$B$53-(A6+'Parameters &amp; Formulas'!$B$29+'Parameters &amp; Formulas'!$B$17+'Parameters &amp; Formulas'!$B$18)</f>
        <v/>
      </c>
      <c r="C6" s="10">
        <f>IF(B6&lt;='Parameters &amp; Formulas'!$B$36,POWER(10,(B6-'Parameters &amp; Formulas'!$B$35)/20),POWER(10,(B6-'Parameters &amp; Formulas'!$B$35+20*LOG10('Parameters &amp; Formulas'!$B$34))/40))</f>
        <v/>
      </c>
      <c r="D6" s="11">
        <f>C6/1000</f>
        <v/>
      </c>
      <c r="E6" s="12">
        <f>IF(B6&lt;='Parameters &amp; Formulas'!$B$36,"Pre-breakpoint (20 log)","Post-breakpoint (40 log)")</f>
        <v/>
      </c>
    </row>
    <row r="7">
      <c r="A7" s="10" t="n">
        <v>31.14321608040201</v>
      </c>
      <c r="B7" s="11">
        <f>'Parameters &amp; Formulas'!$B$53-(A7+'Parameters &amp; Formulas'!$B$29+'Parameters &amp; Formulas'!$B$17+'Parameters &amp; Formulas'!$B$18)</f>
        <v/>
      </c>
      <c r="C7" s="10">
        <f>IF(B7&lt;='Parameters &amp; Formulas'!$B$36,POWER(10,(B7-'Parameters &amp; Formulas'!$B$35)/20),POWER(10,(B7-'Parameters &amp; Formulas'!$B$35+20*LOG10('Parameters &amp; Formulas'!$B$34))/40))</f>
        <v/>
      </c>
      <c r="D7" s="11">
        <f>C7/1000</f>
        <v/>
      </c>
      <c r="E7" s="12">
        <f>IF(B7&lt;='Parameters &amp; Formulas'!$B$36,"Pre-breakpoint (20 log)","Post-breakpoint (40 log)")</f>
        <v/>
      </c>
    </row>
    <row r="8">
      <c r="A8" s="10" t="n">
        <v>30.97185929648241</v>
      </c>
      <c r="B8" s="11">
        <f>'Parameters &amp; Formulas'!$B$53-(A8+'Parameters &amp; Formulas'!$B$29+'Parameters &amp; Formulas'!$B$17+'Parameters &amp; Formulas'!$B$18)</f>
        <v/>
      </c>
      <c r="C8" s="10">
        <f>IF(B8&lt;='Parameters &amp; Formulas'!$B$36,POWER(10,(B8-'Parameters &amp; Formulas'!$B$35)/20),POWER(10,(B8-'Parameters &amp; Formulas'!$B$35+20*LOG10('Parameters &amp; Formulas'!$B$34))/40))</f>
        <v/>
      </c>
      <c r="D8" s="11">
        <f>C8/1000</f>
        <v/>
      </c>
      <c r="E8" s="12">
        <f>IF(B8&lt;='Parameters &amp; Formulas'!$B$36,"Pre-breakpoint (20 log)","Post-breakpoint (40 log)")</f>
        <v/>
      </c>
    </row>
    <row r="9">
      <c r="A9" s="10" t="n">
        <v>30.80050251256282</v>
      </c>
      <c r="B9" s="11">
        <f>'Parameters &amp; Formulas'!$B$53-(A9+'Parameters &amp; Formulas'!$B$29+'Parameters &amp; Formulas'!$B$17+'Parameters &amp; Formulas'!$B$18)</f>
        <v/>
      </c>
      <c r="C9" s="10">
        <f>IF(B9&lt;='Parameters &amp; Formulas'!$B$36,POWER(10,(B9-'Parameters &amp; Formulas'!$B$35)/20),POWER(10,(B9-'Parameters &amp; Formulas'!$B$35+20*LOG10('Parameters &amp; Formulas'!$B$34))/40))</f>
        <v/>
      </c>
      <c r="D9" s="11">
        <f>C9/1000</f>
        <v/>
      </c>
      <c r="E9" s="12">
        <f>IF(B9&lt;='Parameters &amp; Formulas'!$B$36,"Pre-breakpoint (20 log)","Post-breakpoint (40 log)")</f>
        <v/>
      </c>
    </row>
    <row r="10">
      <c r="A10" s="10" t="n">
        <v>30.62914572864322</v>
      </c>
      <c r="B10" s="11">
        <f>'Parameters &amp; Formulas'!$B$53-(A10+'Parameters &amp; Formulas'!$B$29+'Parameters &amp; Formulas'!$B$17+'Parameters &amp; Formulas'!$B$18)</f>
        <v/>
      </c>
      <c r="C10" s="10">
        <f>IF(B10&lt;='Parameters &amp; Formulas'!$B$36,POWER(10,(B10-'Parameters &amp; Formulas'!$B$35)/20),POWER(10,(B10-'Parameters &amp; Formulas'!$B$35+20*LOG10('Parameters &amp; Formulas'!$B$34))/40))</f>
        <v/>
      </c>
      <c r="D10" s="11">
        <f>C10/1000</f>
        <v/>
      </c>
      <c r="E10" s="12">
        <f>IF(B10&lt;='Parameters &amp; Formulas'!$B$36,"Pre-breakpoint (20 log)","Post-breakpoint (40 log)")</f>
        <v/>
      </c>
    </row>
    <row r="11">
      <c r="A11" s="10" t="n">
        <v>30.45778894472362</v>
      </c>
      <c r="B11" s="11">
        <f>'Parameters &amp; Formulas'!$B$53-(A11+'Parameters &amp; Formulas'!$B$29+'Parameters &amp; Formulas'!$B$17+'Parameters &amp; Formulas'!$B$18)</f>
        <v/>
      </c>
      <c r="C11" s="10">
        <f>IF(B11&lt;='Parameters &amp; Formulas'!$B$36,POWER(10,(B11-'Parameters &amp; Formulas'!$B$35)/20),POWER(10,(B11-'Parameters &amp; Formulas'!$B$35+20*LOG10('Parameters &amp; Formulas'!$B$34))/40))</f>
        <v/>
      </c>
      <c r="D11" s="11">
        <f>C11/1000</f>
        <v/>
      </c>
      <c r="E11" s="12">
        <f>IF(B11&lt;='Parameters &amp; Formulas'!$B$36,"Pre-breakpoint (20 log)","Post-breakpoint (40 log)")</f>
        <v/>
      </c>
    </row>
    <row r="12">
      <c r="A12" s="10" t="n">
        <v>30.28643216080402</v>
      </c>
      <c r="B12" s="11">
        <f>'Parameters &amp; Formulas'!$B$53-(A12+'Parameters &amp; Formulas'!$B$29+'Parameters &amp; Formulas'!$B$17+'Parameters &amp; Formulas'!$B$18)</f>
        <v/>
      </c>
      <c r="C12" s="10">
        <f>IF(B12&lt;='Parameters &amp; Formulas'!$B$36,POWER(10,(B12-'Parameters &amp; Formulas'!$B$35)/20),POWER(10,(B12-'Parameters &amp; Formulas'!$B$35+20*LOG10('Parameters &amp; Formulas'!$B$34))/40))</f>
        <v/>
      </c>
      <c r="D12" s="11">
        <f>C12/1000</f>
        <v/>
      </c>
      <c r="E12" s="12">
        <f>IF(B12&lt;='Parameters &amp; Formulas'!$B$36,"Pre-breakpoint (20 log)","Post-breakpoint (40 log)")</f>
        <v/>
      </c>
    </row>
    <row r="13">
      <c r="A13" s="10" t="n">
        <v>30.11507537688442</v>
      </c>
      <c r="B13" s="11">
        <f>'Parameters &amp; Formulas'!$B$53-(A13+'Parameters &amp; Formulas'!$B$29+'Parameters &amp; Formulas'!$B$17+'Parameters &amp; Formulas'!$B$18)</f>
        <v/>
      </c>
      <c r="C13" s="10">
        <f>IF(B13&lt;='Parameters &amp; Formulas'!$B$36,POWER(10,(B13-'Parameters &amp; Formulas'!$B$35)/20),POWER(10,(B13-'Parameters &amp; Formulas'!$B$35+20*LOG10('Parameters &amp; Formulas'!$B$34))/40))</f>
        <v/>
      </c>
      <c r="D13" s="11">
        <f>C13/1000</f>
        <v/>
      </c>
      <c r="E13" s="12">
        <f>IF(B13&lt;='Parameters &amp; Formulas'!$B$36,"Pre-breakpoint (20 log)","Post-breakpoint (40 log)")</f>
        <v/>
      </c>
    </row>
    <row r="14">
      <c r="A14" s="10" t="n">
        <v>29.94371859296482</v>
      </c>
      <c r="B14" s="11">
        <f>'Parameters &amp; Formulas'!$B$53-(A14+'Parameters &amp; Formulas'!$B$29+'Parameters &amp; Formulas'!$B$17+'Parameters &amp; Formulas'!$B$18)</f>
        <v/>
      </c>
      <c r="C14" s="10">
        <f>IF(B14&lt;='Parameters &amp; Formulas'!$B$36,POWER(10,(B14-'Parameters &amp; Formulas'!$B$35)/20),POWER(10,(B14-'Parameters &amp; Formulas'!$B$35+20*LOG10('Parameters &amp; Formulas'!$B$34))/40))</f>
        <v/>
      </c>
      <c r="D14" s="11">
        <f>C14/1000</f>
        <v/>
      </c>
      <c r="E14" s="12">
        <f>IF(B14&lt;='Parameters &amp; Formulas'!$B$36,"Pre-breakpoint (20 log)","Post-breakpoint (40 log)")</f>
        <v/>
      </c>
    </row>
    <row r="15">
      <c r="A15" s="10" t="n">
        <v>29.77236180904523</v>
      </c>
      <c r="B15" s="11">
        <f>'Parameters &amp; Formulas'!$B$53-(A15+'Parameters &amp; Formulas'!$B$29+'Parameters &amp; Formulas'!$B$17+'Parameters &amp; Formulas'!$B$18)</f>
        <v/>
      </c>
      <c r="C15" s="10">
        <f>IF(B15&lt;='Parameters &amp; Formulas'!$B$36,POWER(10,(B15-'Parameters &amp; Formulas'!$B$35)/20),POWER(10,(B15-'Parameters &amp; Formulas'!$B$35+20*LOG10('Parameters &amp; Formulas'!$B$34))/40))</f>
        <v/>
      </c>
      <c r="D15" s="11">
        <f>C15/1000</f>
        <v/>
      </c>
      <c r="E15" s="12">
        <f>IF(B15&lt;='Parameters &amp; Formulas'!$B$36,"Pre-breakpoint (20 log)","Post-breakpoint (40 log)")</f>
        <v/>
      </c>
    </row>
    <row r="16">
      <c r="A16" s="10" t="n">
        <v>29.60100502512563</v>
      </c>
      <c r="B16" s="11">
        <f>'Parameters &amp; Formulas'!$B$53-(A16+'Parameters &amp; Formulas'!$B$29+'Parameters &amp; Formulas'!$B$17+'Parameters &amp; Formulas'!$B$18)</f>
        <v/>
      </c>
      <c r="C16" s="10">
        <f>IF(B16&lt;='Parameters &amp; Formulas'!$B$36,POWER(10,(B16-'Parameters &amp; Formulas'!$B$35)/20),POWER(10,(B16-'Parameters &amp; Formulas'!$B$35+20*LOG10('Parameters &amp; Formulas'!$B$34))/40))</f>
        <v/>
      </c>
      <c r="D16" s="11">
        <f>C16/1000</f>
        <v/>
      </c>
      <c r="E16" s="12">
        <f>IF(B16&lt;='Parameters &amp; Formulas'!$B$36,"Pre-breakpoint (20 log)","Post-breakpoint (40 log)")</f>
        <v/>
      </c>
    </row>
    <row r="17">
      <c r="A17" s="10" t="n">
        <v>29.42964824120603</v>
      </c>
      <c r="B17" s="11">
        <f>'Parameters &amp; Formulas'!$B$53-(A17+'Parameters &amp; Formulas'!$B$29+'Parameters &amp; Formulas'!$B$17+'Parameters &amp; Formulas'!$B$18)</f>
        <v/>
      </c>
      <c r="C17" s="10">
        <f>IF(B17&lt;='Parameters &amp; Formulas'!$B$36,POWER(10,(B17-'Parameters &amp; Formulas'!$B$35)/20),POWER(10,(B17-'Parameters &amp; Formulas'!$B$35+20*LOG10('Parameters &amp; Formulas'!$B$34))/40))</f>
        <v/>
      </c>
      <c r="D17" s="11">
        <f>C17/1000</f>
        <v/>
      </c>
      <c r="E17" s="12">
        <f>IF(B17&lt;='Parameters &amp; Formulas'!$B$36,"Pre-breakpoint (20 log)","Post-breakpoint (40 log)")</f>
        <v/>
      </c>
    </row>
    <row r="18">
      <c r="A18" s="10" t="n">
        <v>29.25829145728643</v>
      </c>
      <c r="B18" s="11">
        <f>'Parameters &amp; Formulas'!$B$53-(A18+'Parameters &amp; Formulas'!$B$29+'Parameters &amp; Formulas'!$B$17+'Parameters &amp; Formulas'!$B$18)</f>
        <v/>
      </c>
      <c r="C18" s="10">
        <f>IF(B18&lt;='Parameters &amp; Formulas'!$B$36,POWER(10,(B18-'Parameters &amp; Formulas'!$B$35)/20),POWER(10,(B18-'Parameters &amp; Formulas'!$B$35+20*LOG10('Parameters &amp; Formulas'!$B$34))/40))</f>
        <v/>
      </c>
      <c r="D18" s="11">
        <f>C18/1000</f>
        <v/>
      </c>
      <c r="E18" s="12">
        <f>IF(B18&lt;='Parameters &amp; Formulas'!$B$36,"Pre-breakpoint (20 log)","Post-breakpoint (40 log)")</f>
        <v/>
      </c>
    </row>
    <row r="19">
      <c r="A19" s="10" t="n">
        <v>29.08693467336683</v>
      </c>
      <c r="B19" s="11">
        <f>'Parameters &amp; Formulas'!$B$53-(A19+'Parameters &amp; Formulas'!$B$29+'Parameters &amp; Formulas'!$B$17+'Parameters &amp; Formulas'!$B$18)</f>
        <v/>
      </c>
      <c r="C19" s="10">
        <f>IF(B19&lt;='Parameters &amp; Formulas'!$B$36,POWER(10,(B19-'Parameters &amp; Formulas'!$B$35)/20),POWER(10,(B19-'Parameters &amp; Formulas'!$B$35+20*LOG10('Parameters &amp; Formulas'!$B$34))/40))</f>
        <v/>
      </c>
      <c r="D19" s="11">
        <f>C19/1000</f>
        <v/>
      </c>
      <c r="E19" s="12">
        <f>IF(B19&lt;='Parameters &amp; Formulas'!$B$36,"Pre-breakpoint (20 log)","Post-breakpoint (40 log)")</f>
        <v/>
      </c>
    </row>
    <row r="20">
      <c r="A20" s="10" t="n">
        <v>28.91557788944723</v>
      </c>
      <c r="B20" s="11">
        <f>'Parameters &amp; Formulas'!$B$53-(A20+'Parameters &amp; Formulas'!$B$29+'Parameters &amp; Formulas'!$B$17+'Parameters &amp; Formulas'!$B$18)</f>
        <v/>
      </c>
      <c r="C20" s="10">
        <f>IF(B20&lt;='Parameters &amp; Formulas'!$B$36,POWER(10,(B20-'Parameters &amp; Formulas'!$B$35)/20),POWER(10,(B20-'Parameters &amp; Formulas'!$B$35+20*LOG10('Parameters &amp; Formulas'!$B$34))/40))</f>
        <v/>
      </c>
      <c r="D20" s="11">
        <f>C20/1000</f>
        <v/>
      </c>
      <c r="E20" s="12">
        <f>IF(B20&lt;='Parameters &amp; Formulas'!$B$36,"Pre-breakpoint (20 log)","Post-breakpoint (40 log)")</f>
        <v/>
      </c>
    </row>
    <row r="21">
      <c r="A21" s="10" t="n">
        <v>28.74422110552764</v>
      </c>
      <c r="B21" s="11">
        <f>'Parameters &amp; Formulas'!$B$53-(A21+'Parameters &amp; Formulas'!$B$29+'Parameters &amp; Formulas'!$B$17+'Parameters &amp; Formulas'!$B$18)</f>
        <v/>
      </c>
      <c r="C21" s="10">
        <f>IF(B21&lt;='Parameters &amp; Formulas'!$B$36,POWER(10,(B21-'Parameters &amp; Formulas'!$B$35)/20),POWER(10,(B21-'Parameters &amp; Formulas'!$B$35+20*LOG10('Parameters &amp; Formulas'!$B$34))/40))</f>
        <v/>
      </c>
      <c r="D21" s="11">
        <f>C21/1000</f>
        <v/>
      </c>
      <c r="E21" s="12">
        <f>IF(B21&lt;='Parameters &amp; Formulas'!$B$36,"Pre-breakpoint (20 log)","Post-breakpoint (40 log)")</f>
        <v/>
      </c>
    </row>
    <row r="22">
      <c r="A22" s="10" t="n">
        <v>28.57286432160804</v>
      </c>
      <c r="B22" s="11">
        <f>'Parameters &amp; Formulas'!$B$53-(A22+'Parameters &amp; Formulas'!$B$29+'Parameters &amp; Formulas'!$B$17+'Parameters &amp; Formulas'!$B$18)</f>
        <v/>
      </c>
      <c r="C22" s="10">
        <f>IF(B22&lt;='Parameters &amp; Formulas'!$B$36,POWER(10,(B22-'Parameters &amp; Formulas'!$B$35)/20),POWER(10,(B22-'Parameters &amp; Formulas'!$B$35+20*LOG10('Parameters &amp; Formulas'!$B$34))/40))</f>
        <v/>
      </c>
      <c r="D22" s="11">
        <f>C22/1000</f>
        <v/>
      </c>
      <c r="E22" s="12">
        <f>IF(B22&lt;='Parameters &amp; Formulas'!$B$36,"Pre-breakpoint (20 log)","Post-breakpoint (40 log)")</f>
        <v/>
      </c>
    </row>
    <row r="23">
      <c r="A23" s="10" t="n">
        <v>28.40150753768844</v>
      </c>
      <c r="B23" s="11">
        <f>'Parameters &amp; Formulas'!$B$53-(A23+'Parameters &amp; Formulas'!$B$29+'Parameters &amp; Formulas'!$B$17+'Parameters &amp; Formulas'!$B$18)</f>
        <v/>
      </c>
      <c r="C23" s="10">
        <f>IF(B23&lt;='Parameters &amp; Formulas'!$B$36,POWER(10,(B23-'Parameters &amp; Formulas'!$B$35)/20),POWER(10,(B23-'Parameters &amp; Formulas'!$B$35+20*LOG10('Parameters &amp; Formulas'!$B$34))/40))</f>
        <v/>
      </c>
      <c r="D23" s="11">
        <f>C23/1000</f>
        <v/>
      </c>
      <c r="E23" s="12">
        <f>IF(B23&lt;='Parameters &amp; Formulas'!$B$36,"Pre-breakpoint (20 log)","Post-breakpoint (40 log)")</f>
        <v/>
      </c>
    </row>
    <row r="24">
      <c r="A24" s="10" t="n">
        <v>28.23015075376884</v>
      </c>
      <c r="B24" s="11">
        <f>'Parameters &amp; Formulas'!$B$53-(A24+'Parameters &amp; Formulas'!$B$29+'Parameters &amp; Formulas'!$B$17+'Parameters &amp; Formulas'!$B$18)</f>
        <v/>
      </c>
      <c r="C24" s="10">
        <f>IF(B24&lt;='Parameters &amp; Formulas'!$B$36,POWER(10,(B24-'Parameters &amp; Formulas'!$B$35)/20),POWER(10,(B24-'Parameters &amp; Formulas'!$B$35+20*LOG10('Parameters &amp; Formulas'!$B$34))/40))</f>
        <v/>
      </c>
      <c r="D24" s="11">
        <f>C24/1000</f>
        <v/>
      </c>
      <c r="E24" s="12">
        <f>IF(B24&lt;='Parameters &amp; Formulas'!$B$36,"Pre-breakpoint (20 log)","Post-breakpoint (40 log)")</f>
        <v/>
      </c>
    </row>
    <row r="25">
      <c r="A25" s="10" t="n">
        <v>28.05879396984925</v>
      </c>
      <c r="B25" s="11">
        <f>'Parameters &amp; Formulas'!$B$53-(A25+'Parameters &amp; Formulas'!$B$29+'Parameters &amp; Formulas'!$B$17+'Parameters &amp; Formulas'!$B$18)</f>
        <v/>
      </c>
      <c r="C25" s="10">
        <f>IF(B25&lt;='Parameters &amp; Formulas'!$B$36,POWER(10,(B25-'Parameters &amp; Formulas'!$B$35)/20),POWER(10,(B25-'Parameters &amp; Formulas'!$B$35+20*LOG10('Parameters &amp; Formulas'!$B$34))/40))</f>
        <v/>
      </c>
      <c r="D25" s="11">
        <f>C25/1000</f>
        <v/>
      </c>
      <c r="E25" s="12">
        <f>IF(B25&lt;='Parameters &amp; Formulas'!$B$36,"Pre-breakpoint (20 log)","Post-breakpoint (40 log)")</f>
        <v/>
      </c>
    </row>
    <row r="26">
      <c r="A26" s="10" t="n">
        <v>27.88743718592965</v>
      </c>
      <c r="B26" s="11">
        <f>'Parameters &amp; Formulas'!$B$53-(A26+'Parameters &amp; Formulas'!$B$29+'Parameters &amp; Formulas'!$B$17+'Parameters &amp; Formulas'!$B$18)</f>
        <v/>
      </c>
      <c r="C26" s="10">
        <f>IF(B26&lt;='Parameters &amp; Formulas'!$B$36,POWER(10,(B26-'Parameters &amp; Formulas'!$B$35)/20),POWER(10,(B26-'Parameters &amp; Formulas'!$B$35+20*LOG10('Parameters &amp; Formulas'!$B$34))/40))</f>
        <v/>
      </c>
      <c r="D26" s="11">
        <f>C26/1000</f>
        <v/>
      </c>
      <c r="E26" s="12">
        <f>IF(B26&lt;='Parameters &amp; Formulas'!$B$36,"Pre-breakpoint (20 log)","Post-breakpoint (40 log)")</f>
        <v/>
      </c>
    </row>
    <row r="27">
      <c r="A27" s="10" t="n">
        <v>27.71608040201005</v>
      </c>
      <c r="B27" s="11">
        <f>'Parameters &amp; Formulas'!$B$53-(A27+'Parameters &amp; Formulas'!$B$29+'Parameters &amp; Formulas'!$B$17+'Parameters &amp; Formulas'!$B$18)</f>
        <v/>
      </c>
      <c r="C27" s="10">
        <f>IF(B27&lt;='Parameters &amp; Formulas'!$B$36,POWER(10,(B27-'Parameters &amp; Formulas'!$B$35)/20),POWER(10,(B27-'Parameters &amp; Formulas'!$B$35+20*LOG10('Parameters &amp; Formulas'!$B$34))/40))</f>
        <v/>
      </c>
      <c r="D27" s="11">
        <f>C27/1000</f>
        <v/>
      </c>
      <c r="E27" s="12">
        <f>IF(B27&lt;='Parameters &amp; Formulas'!$B$36,"Pre-breakpoint (20 log)","Post-breakpoint (40 log)")</f>
        <v/>
      </c>
    </row>
    <row r="28">
      <c r="A28" s="10" t="n">
        <v>27.54472361809045</v>
      </c>
      <c r="B28" s="11">
        <f>'Parameters &amp; Formulas'!$B$53-(A28+'Parameters &amp; Formulas'!$B$29+'Parameters &amp; Formulas'!$B$17+'Parameters &amp; Formulas'!$B$18)</f>
        <v/>
      </c>
      <c r="C28" s="10">
        <f>IF(B28&lt;='Parameters &amp; Formulas'!$B$36,POWER(10,(B28-'Parameters &amp; Formulas'!$B$35)/20),POWER(10,(B28-'Parameters &amp; Formulas'!$B$35+20*LOG10('Parameters &amp; Formulas'!$B$34))/40))</f>
        <v/>
      </c>
      <c r="D28" s="11">
        <f>C28/1000</f>
        <v/>
      </c>
      <c r="E28" s="12">
        <f>IF(B28&lt;='Parameters &amp; Formulas'!$B$36,"Pre-breakpoint (20 log)","Post-breakpoint (40 log)")</f>
        <v/>
      </c>
    </row>
    <row r="29">
      <c r="A29" s="10" t="n">
        <v>27.37336683417085</v>
      </c>
      <c r="B29" s="11">
        <f>'Parameters &amp; Formulas'!$B$53-(A29+'Parameters &amp; Formulas'!$B$29+'Parameters &amp; Formulas'!$B$17+'Parameters &amp; Formulas'!$B$18)</f>
        <v/>
      </c>
      <c r="C29" s="10">
        <f>IF(B29&lt;='Parameters &amp; Formulas'!$B$36,POWER(10,(B29-'Parameters &amp; Formulas'!$B$35)/20),POWER(10,(B29-'Parameters &amp; Formulas'!$B$35+20*LOG10('Parameters &amp; Formulas'!$B$34))/40))</f>
        <v/>
      </c>
      <c r="D29" s="11">
        <f>C29/1000</f>
        <v/>
      </c>
      <c r="E29" s="12">
        <f>IF(B29&lt;='Parameters &amp; Formulas'!$B$36,"Pre-breakpoint (20 log)","Post-breakpoint (40 log)")</f>
        <v/>
      </c>
    </row>
    <row r="30">
      <c r="A30" s="10" t="n">
        <v>27.20201005025126</v>
      </c>
      <c r="B30" s="11">
        <f>'Parameters &amp; Formulas'!$B$53-(A30+'Parameters &amp; Formulas'!$B$29+'Parameters &amp; Formulas'!$B$17+'Parameters &amp; Formulas'!$B$18)</f>
        <v/>
      </c>
      <c r="C30" s="10">
        <f>IF(B30&lt;='Parameters &amp; Formulas'!$B$36,POWER(10,(B30-'Parameters &amp; Formulas'!$B$35)/20),POWER(10,(B30-'Parameters &amp; Formulas'!$B$35+20*LOG10('Parameters &amp; Formulas'!$B$34))/40))</f>
        <v/>
      </c>
      <c r="D30" s="11">
        <f>C30/1000</f>
        <v/>
      </c>
      <c r="E30" s="12">
        <f>IF(B30&lt;='Parameters &amp; Formulas'!$B$36,"Pre-breakpoint (20 log)","Post-breakpoint (40 log)")</f>
        <v/>
      </c>
    </row>
    <row r="31">
      <c r="A31" s="10" t="n">
        <v>27.03065326633166</v>
      </c>
      <c r="B31" s="11">
        <f>'Parameters &amp; Formulas'!$B$53-(A31+'Parameters &amp; Formulas'!$B$29+'Parameters &amp; Formulas'!$B$17+'Parameters &amp; Formulas'!$B$18)</f>
        <v/>
      </c>
      <c r="C31" s="10">
        <f>IF(B31&lt;='Parameters &amp; Formulas'!$B$36,POWER(10,(B31-'Parameters &amp; Formulas'!$B$35)/20),POWER(10,(B31-'Parameters &amp; Formulas'!$B$35+20*LOG10('Parameters &amp; Formulas'!$B$34))/40))</f>
        <v/>
      </c>
      <c r="D31" s="11">
        <f>C31/1000</f>
        <v/>
      </c>
      <c r="E31" s="12">
        <f>IF(B31&lt;='Parameters &amp; Formulas'!$B$36,"Pre-breakpoint (20 log)","Post-breakpoint (40 log)")</f>
        <v/>
      </c>
    </row>
    <row r="32">
      <c r="A32" s="10" t="n">
        <v>26.85929648241206</v>
      </c>
      <c r="B32" s="11">
        <f>'Parameters &amp; Formulas'!$B$53-(A32+'Parameters &amp; Formulas'!$B$29+'Parameters &amp; Formulas'!$B$17+'Parameters &amp; Formulas'!$B$18)</f>
        <v/>
      </c>
      <c r="C32" s="10">
        <f>IF(B32&lt;='Parameters &amp; Formulas'!$B$36,POWER(10,(B32-'Parameters &amp; Formulas'!$B$35)/20),POWER(10,(B32-'Parameters &amp; Formulas'!$B$35+20*LOG10('Parameters &amp; Formulas'!$B$34))/40))</f>
        <v/>
      </c>
      <c r="D32" s="11">
        <f>C32/1000</f>
        <v/>
      </c>
      <c r="E32" s="12">
        <f>IF(B32&lt;='Parameters &amp; Formulas'!$B$36,"Pre-breakpoint (20 log)","Post-breakpoint (40 log)")</f>
        <v/>
      </c>
    </row>
    <row r="33">
      <c r="A33" s="10" t="n">
        <v>26.68793969849246</v>
      </c>
      <c r="B33" s="11">
        <f>'Parameters &amp; Formulas'!$B$53-(A33+'Parameters &amp; Formulas'!$B$29+'Parameters &amp; Formulas'!$B$17+'Parameters &amp; Formulas'!$B$18)</f>
        <v/>
      </c>
      <c r="C33" s="10">
        <f>IF(B33&lt;='Parameters &amp; Formulas'!$B$36,POWER(10,(B33-'Parameters &amp; Formulas'!$B$35)/20),POWER(10,(B33-'Parameters &amp; Formulas'!$B$35+20*LOG10('Parameters &amp; Formulas'!$B$34))/40))</f>
        <v/>
      </c>
      <c r="D33" s="11">
        <f>C33/1000</f>
        <v/>
      </c>
      <c r="E33" s="12">
        <f>IF(B33&lt;='Parameters &amp; Formulas'!$B$36,"Pre-breakpoint (20 log)","Post-breakpoint (40 log)")</f>
        <v/>
      </c>
    </row>
    <row r="34">
      <c r="A34" s="10" t="n">
        <v>26.51658291457287</v>
      </c>
      <c r="B34" s="11">
        <f>'Parameters &amp; Formulas'!$B$53-(A34+'Parameters &amp; Formulas'!$B$29+'Parameters &amp; Formulas'!$B$17+'Parameters &amp; Formulas'!$B$18)</f>
        <v/>
      </c>
      <c r="C34" s="10">
        <f>IF(B34&lt;='Parameters &amp; Formulas'!$B$36,POWER(10,(B34-'Parameters &amp; Formulas'!$B$35)/20),POWER(10,(B34-'Parameters &amp; Formulas'!$B$35+20*LOG10('Parameters &amp; Formulas'!$B$34))/40))</f>
        <v/>
      </c>
      <c r="D34" s="11">
        <f>C34/1000</f>
        <v/>
      </c>
      <c r="E34" s="12">
        <f>IF(B34&lt;='Parameters &amp; Formulas'!$B$36,"Pre-breakpoint (20 log)","Post-breakpoint (40 log)")</f>
        <v/>
      </c>
    </row>
    <row r="35">
      <c r="A35" s="10" t="n">
        <v>26.34522613065327</v>
      </c>
      <c r="B35" s="11">
        <f>'Parameters &amp; Formulas'!$B$53-(A35+'Parameters &amp; Formulas'!$B$29+'Parameters &amp; Formulas'!$B$17+'Parameters &amp; Formulas'!$B$18)</f>
        <v/>
      </c>
      <c r="C35" s="10">
        <f>IF(B35&lt;='Parameters &amp; Formulas'!$B$36,POWER(10,(B35-'Parameters &amp; Formulas'!$B$35)/20),POWER(10,(B35-'Parameters &amp; Formulas'!$B$35+20*LOG10('Parameters &amp; Formulas'!$B$34))/40))</f>
        <v/>
      </c>
      <c r="D35" s="11">
        <f>C35/1000</f>
        <v/>
      </c>
      <c r="E35" s="12">
        <f>IF(B35&lt;='Parameters &amp; Formulas'!$B$36,"Pre-breakpoint (20 log)","Post-breakpoint (40 log)")</f>
        <v/>
      </c>
    </row>
    <row r="36">
      <c r="A36" s="10" t="n">
        <v>26.17386934673367</v>
      </c>
      <c r="B36" s="11">
        <f>'Parameters &amp; Formulas'!$B$53-(A36+'Parameters &amp; Formulas'!$B$29+'Parameters &amp; Formulas'!$B$17+'Parameters &amp; Formulas'!$B$18)</f>
        <v/>
      </c>
      <c r="C36" s="10">
        <f>IF(B36&lt;='Parameters &amp; Formulas'!$B$36,POWER(10,(B36-'Parameters &amp; Formulas'!$B$35)/20),POWER(10,(B36-'Parameters &amp; Formulas'!$B$35+20*LOG10('Parameters &amp; Formulas'!$B$34))/40))</f>
        <v/>
      </c>
      <c r="D36" s="11">
        <f>C36/1000</f>
        <v/>
      </c>
      <c r="E36" s="12">
        <f>IF(B36&lt;='Parameters &amp; Formulas'!$B$36,"Pre-breakpoint (20 log)","Post-breakpoint (40 log)")</f>
        <v/>
      </c>
    </row>
    <row r="37">
      <c r="A37" s="10" t="n">
        <v>26.00251256281407</v>
      </c>
      <c r="B37" s="11">
        <f>'Parameters &amp; Formulas'!$B$53-(A37+'Parameters &amp; Formulas'!$B$29+'Parameters &amp; Formulas'!$B$17+'Parameters &amp; Formulas'!$B$18)</f>
        <v/>
      </c>
      <c r="C37" s="10">
        <f>IF(B37&lt;='Parameters &amp; Formulas'!$B$36,POWER(10,(B37-'Parameters &amp; Formulas'!$B$35)/20),POWER(10,(B37-'Parameters &amp; Formulas'!$B$35+20*LOG10('Parameters &amp; Formulas'!$B$34))/40))</f>
        <v/>
      </c>
      <c r="D37" s="11">
        <f>C37/1000</f>
        <v/>
      </c>
      <c r="E37" s="12">
        <f>IF(B37&lt;='Parameters &amp; Formulas'!$B$36,"Pre-breakpoint (20 log)","Post-breakpoint (40 log)")</f>
        <v/>
      </c>
    </row>
    <row r="38">
      <c r="A38" s="10" t="n">
        <v>25.83115577889447</v>
      </c>
      <c r="B38" s="11">
        <f>'Parameters &amp; Formulas'!$B$53-(A38+'Parameters &amp; Formulas'!$B$29+'Parameters &amp; Formulas'!$B$17+'Parameters &amp; Formulas'!$B$18)</f>
        <v/>
      </c>
      <c r="C38" s="10">
        <f>IF(B38&lt;='Parameters &amp; Formulas'!$B$36,POWER(10,(B38-'Parameters &amp; Formulas'!$B$35)/20),POWER(10,(B38-'Parameters &amp; Formulas'!$B$35+20*LOG10('Parameters &amp; Formulas'!$B$34))/40))</f>
        <v/>
      </c>
      <c r="D38" s="11">
        <f>C38/1000</f>
        <v/>
      </c>
      <c r="E38" s="12">
        <f>IF(B38&lt;='Parameters &amp; Formulas'!$B$36,"Pre-breakpoint (20 log)","Post-breakpoint (40 log)")</f>
        <v/>
      </c>
    </row>
    <row r="39">
      <c r="A39" s="10" t="n">
        <v>25.65979899497487</v>
      </c>
      <c r="B39" s="11">
        <f>'Parameters &amp; Formulas'!$B$53-(A39+'Parameters &amp; Formulas'!$B$29+'Parameters &amp; Formulas'!$B$17+'Parameters &amp; Formulas'!$B$18)</f>
        <v/>
      </c>
      <c r="C39" s="10">
        <f>IF(B39&lt;='Parameters &amp; Formulas'!$B$36,POWER(10,(B39-'Parameters &amp; Formulas'!$B$35)/20),POWER(10,(B39-'Parameters &amp; Formulas'!$B$35+20*LOG10('Parameters &amp; Formulas'!$B$34))/40))</f>
        <v/>
      </c>
      <c r="D39" s="11">
        <f>C39/1000</f>
        <v/>
      </c>
      <c r="E39" s="12">
        <f>IF(B39&lt;='Parameters &amp; Formulas'!$B$36,"Pre-breakpoint (20 log)","Post-breakpoint (40 log)")</f>
        <v/>
      </c>
    </row>
    <row r="40">
      <c r="A40" s="10" t="n">
        <v>25.48844221105528</v>
      </c>
      <c r="B40" s="11">
        <f>'Parameters &amp; Formulas'!$B$53-(A40+'Parameters &amp; Formulas'!$B$29+'Parameters &amp; Formulas'!$B$17+'Parameters &amp; Formulas'!$B$18)</f>
        <v/>
      </c>
      <c r="C40" s="10">
        <f>IF(B40&lt;='Parameters &amp; Formulas'!$B$36,POWER(10,(B40-'Parameters &amp; Formulas'!$B$35)/20),POWER(10,(B40-'Parameters &amp; Formulas'!$B$35+20*LOG10('Parameters &amp; Formulas'!$B$34))/40))</f>
        <v/>
      </c>
      <c r="D40" s="11">
        <f>C40/1000</f>
        <v/>
      </c>
      <c r="E40" s="12">
        <f>IF(B40&lt;='Parameters &amp; Formulas'!$B$36,"Pre-breakpoint (20 log)","Post-breakpoint (40 log)")</f>
        <v/>
      </c>
    </row>
    <row r="41">
      <c r="A41" s="10" t="n">
        <v>25.31708542713568</v>
      </c>
      <c r="B41" s="11">
        <f>'Parameters &amp; Formulas'!$B$53-(A41+'Parameters &amp; Formulas'!$B$29+'Parameters &amp; Formulas'!$B$17+'Parameters &amp; Formulas'!$B$18)</f>
        <v/>
      </c>
      <c r="C41" s="10">
        <f>IF(B41&lt;='Parameters &amp; Formulas'!$B$36,POWER(10,(B41-'Parameters &amp; Formulas'!$B$35)/20),POWER(10,(B41-'Parameters &amp; Formulas'!$B$35+20*LOG10('Parameters &amp; Formulas'!$B$34))/40))</f>
        <v/>
      </c>
      <c r="D41" s="11">
        <f>C41/1000</f>
        <v/>
      </c>
      <c r="E41" s="12">
        <f>IF(B41&lt;='Parameters &amp; Formulas'!$B$36,"Pre-breakpoint (20 log)","Post-breakpoint (40 log)")</f>
        <v/>
      </c>
    </row>
    <row r="42">
      <c r="A42" s="10" t="n">
        <v>25.14572864321608</v>
      </c>
      <c r="B42" s="11">
        <f>'Parameters &amp; Formulas'!$B$53-(A42+'Parameters &amp; Formulas'!$B$29+'Parameters &amp; Formulas'!$B$17+'Parameters &amp; Formulas'!$B$18)</f>
        <v/>
      </c>
      <c r="C42" s="10">
        <f>IF(B42&lt;='Parameters &amp; Formulas'!$B$36,POWER(10,(B42-'Parameters &amp; Formulas'!$B$35)/20),POWER(10,(B42-'Parameters &amp; Formulas'!$B$35+20*LOG10('Parameters &amp; Formulas'!$B$34))/40))</f>
        <v/>
      </c>
      <c r="D42" s="11">
        <f>C42/1000</f>
        <v/>
      </c>
      <c r="E42" s="12">
        <f>IF(B42&lt;='Parameters &amp; Formulas'!$B$36,"Pre-breakpoint (20 log)","Post-breakpoint (40 log)")</f>
        <v/>
      </c>
    </row>
    <row r="43">
      <c r="A43" s="10" t="n">
        <v>24.97437185929648</v>
      </c>
      <c r="B43" s="11">
        <f>'Parameters &amp; Formulas'!$B$53-(A43+'Parameters &amp; Formulas'!$B$29+'Parameters &amp; Formulas'!$B$17+'Parameters &amp; Formulas'!$B$18)</f>
        <v/>
      </c>
      <c r="C43" s="10">
        <f>IF(B43&lt;='Parameters &amp; Formulas'!$B$36,POWER(10,(B43-'Parameters &amp; Formulas'!$B$35)/20),POWER(10,(B43-'Parameters &amp; Formulas'!$B$35+20*LOG10('Parameters &amp; Formulas'!$B$34))/40))</f>
        <v/>
      </c>
      <c r="D43" s="11">
        <f>C43/1000</f>
        <v/>
      </c>
      <c r="E43" s="12">
        <f>IF(B43&lt;='Parameters &amp; Formulas'!$B$36,"Pre-breakpoint (20 log)","Post-breakpoint (40 log)")</f>
        <v/>
      </c>
    </row>
    <row r="44">
      <c r="A44" s="10" t="n">
        <v>24.80301507537688</v>
      </c>
      <c r="B44" s="11">
        <f>'Parameters &amp; Formulas'!$B$53-(A44+'Parameters &amp; Formulas'!$B$29+'Parameters &amp; Formulas'!$B$17+'Parameters &amp; Formulas'!$B$18)</f>
        <v/>
      </c>
      <c r="C44" s="10">
        <f>IF(B44&lt;='Parameters &amp; Formulas'!$B$36,POWER(10,(B44-'Parameters &amp; Formulas'!$B$35)/20),POWER(10,(B44-'Parameters &amp; Formulas'!$B$35+20*LOG10('Parameters &amp; Formulas'!$B$34))/40))</f>
        <v/>
      </c>
      <c r="D44" s="11">
        <f>C44/1000</f>
        <v/>
      </c>
      <c r="E44" s="12">
        <f>IF(B44&lt;='Parameters &amp; Formulas'!$B$36,"Pre-breakpoint (20 log)","Post-breakpoint (40 log)")</f>
        <v/>
      </c>
    </row>
    <row r="45">
      <c r="A45" s="10" t="n">
        <v>24.63165829145728</v>
      </c>
      <c r="B45" s="11">
        <f>'Parameters &amp; Formulas'!$B$53-(A45+'Parameters &amp; Formulas'!$B$29+'Parameters &amp; Formulas'!$B$17+'Parameters &amp; Formulas'!$B$18)</f>
        <v/>
      </c>
      <c r="C45" s="10">
        <f>IF(B45&lt;='Parameters &amp; Formulas'!$B$36,POWER(10,(B45-'Parameters &amp; Formulas'!$B$35)/20),POWER(10,(B45-'Parameters &amp; Formulas'!$B$35+20*LOG10('Parameters &amp; Formulas'!$B$34))/40))</f>
        <v/>
      </c>
      <c r="D45" s="11">
        <f>C45/1000</f>
        <v/>
      </c>
      <c r="E45" s="12">
        <f>IF(B45&lt;='Parameters &amp; Formulas'!$B$36,"Pre-breakpoint (20 log)","Post-breakpoint (40 log)")</f>
        <v/>
      </c>
    </row>
    <row r="46">
      <c r="A46" s="10" t="n">
        <v>24.46030150753769</v>
      </c>
      <c r="B46" s="11">
        <f>'Parameters &amp; Formulas'!$B$53-(A46+'Parameters &amp; Formulas'!$B$29+'Parameters &amp; Formulas'!$B$17+'Parameters &amp; Formulas'!$B$18)</f>
        <v/>
      </c>
      <c r="C46" s="10">
        <f>IF(B46&lt;='Parameters &amp; Formulas'!$B$36,POWER(10,(B46-'Parameters &amp; Formulas'!$B$35)/20),POWER(10,(B46-'Parameters &amp; Formulas'!$B$35+20*LOG10('Parameters &amp; Formulas'!$B$34))/40))</f>
        <v/>
      </c>
      <c r="D46" s="11">
        <f>C46/1000</f>
        <v/>
      </c>
      <c r="E46" s="12">
        <f>IF(B46&lt;='Parameters &amp; Formulas'!$B$36,"Pre-breakpoint (20 log)","Post-breakpoint (40 log)")</f>
        <v/>
      </c>
    </row>
    <row r="47">
      <c r="A47" s="10" t="n">
        <v>24.28894472361809</v>
      </c>
      <c r="B47" s="11">
        <f>'Parameters &amp; Formulas'!$B$53-(A47+'Parameters &amp; Formulas'!$B$29+'Parameters &amp; Formulas'!$B$17+'Parameters &amp; Formulas'!$B$18)</f>
        <v/>
      </c>
      <c r="C47" s="10">
        <f>IF(B47&lt;='Parameters &amp; Formulas'!$B$36,POWER(10,(B47-'Parameters &amp; Formulas'!$B$35)/20),POWER(10,(B47-'Parameters &amp; Formulas'!$B$35+20*LOG10('Parameters &amp; Formulas'!$B$34))/40))</f>
        <v/>
      </c>
      <c r="D47" s="11">
        <f>C47/1000</f>
        <v/>
      </c>
      <c r="E47" s="12">
        <f>IF(B47&lt;='Parameters &amp; Formulas'!$B$36,"Pre-breakpoint (20 log)","Post-breakpoint (40 log)")</f>
        <v/>
      </c>
    </row>
    <row r="48">
      <c r="A48" s="10" t="n">
        <v>24.11758793969849</v>
      </c>
      <c r="B48" s="11">
        <f>'Parameters &amp; Formulas'!$B$53-(A48+'Parameters &amp; Formulas'!$B$29+'Parameters &amp; Formulas'!$B$17+'Parameters &amp; Formulas'!$B$18)</f>
        <v/>
      </c>
      <c r="C48" s="10">
        <f>IF(B48&lt;='Parameters &amp; Formulas'!$B$36,POWER(10,(B48-'Parameters &amp; Formulas'!$B$35)/20),POWER(10,(B48-'Parameters &amp; Formulas'!$B$35+20*LOG10('Parameters &amp; Formulas'!$B$34))/40))</f>
        <v/>
      </c>
      <c r="D48" s="11">
        <f>C48/1000</f>
        <v/>
      </c>
      <c r="E48" s="12">
        <f>IF(B48&lt;='Parameters &amp; Formulas'!$B$36,"Pre-breakpoint (20 log)","Post-breakpoint (40 log)")</f>
        <v/>
      </c>
    </row>
    <row r="49">
      <c r="A49" s="10" t="n">
        <v>23.9462311557789</v>
      </c>
      <c r="B49" s="11">
        <f>'Parameters &amp; Formulas'!$B$53-(A49+'Parameters &amp; Formulas'!$B$29+'Parameters &amp; Formulas'!$B$17+'Parameters &amp; Formulas'!$B$18)</f>
        <v/>
      </c>
      <c r="C49" s="10">
        <f>IF(B49&lt;='Parameters &amp; Formulas'!$B$36,POWER(10,(B49-'Parameters &amp; Formulas'!$B$35)/20),POWER(10,(B49-'Parameters &amp; Formulas'!$B$35+20*LOG10('Parameters &amp; Formulas'!$B$34))/40))</f>
        <v/>
      </c>
      <c r="D49" s="11">
        <f>C49/1000</f>
        <v/>
      </c>
      <c r="E49" s="12">
        <f>IF(B49&lt;='Parameters &amp; Formulas'!$B$36,"Pre-breakpoint (20 log)","Post-breakpoint (40 log)")</f>
        <v/>
      </c>
    </row>
    <row r="50">
      <c r="A50" s="10" t="n">
        <v>23.7748743718593</v>
      </c>
      <c r="B50" s="11">
        <f>'Parameters &amp; Formulas'!$B$53-(A50+'Parameters &amp; Formulas'!$B$29+'Parameters &amp; Formulas'!$B$17+'Parameters &amp; Formulas'!$B$18)</f>
        <v/>
      </c>
      <c r="C50" s="10">
        <f>IF(B50&lt;='Parameters &amp; Formulas'!$B$36,POWER(10,(B50-'Parameters &amp; Formulas'!$B$35)/20),POWER(10,(B50-'Parameters &amp; Formulas'!$B$35+20*LOG10('Parameters &amp; Formulas'!$B$34))/40))</f>
        <v/>
      </c>
      <c r="D50" s="11">
        <f>C50/1000</f>
        <v/>
      </c>
      <c r="E50" s="12">
        <f>IF(B50&lt;='Parameters &amp; Formulas'!$B$36,"Pre-breakpoint (20 log)","Post-breakpoint (40 log)")</f>
        <v/>
      </c>
    </row>
    <row r="51">
      <c r="A51" s="10" t="n">
        <v>23.6035175879397</v>
      </c>
      <c r="B51" s="11">
        <f>'Parameters &amp; Formulas'!$B$53-(A51+'Parameters &amp; Formulas'!$B$29+'Parameters &amp; Formulas'!$B$17+'Parameters &amp; Formulas'!$B$18)</f>
        <v/>
      </c>
      <c r="C51" s="10">
        <f>IF(B51&lt;='Parameters &amp; Formulas'!$B$36,POWER(10,(B51-'Parameters &amp; Formulas'!$B$35)/20),POWER(10,(B51-'Parameters &amp; Formulas'!$B$35+20*LOG10('Parameters &amp; Formulas'!$B$34))/40))</f>
        <v/>
      </c>
      <c r="D51" s="11">
        <f>C51/1000</f>
        <v/>
      </c>
      <c r="E51" s="12">
        <f>IF(B51&lt;='Parameters &amp; Formulas'!$B$36,"Pre-breakpoint (20 log)","Post-breakpoint (40 log)")</f>
        <v/>
      </c>
    </row>
    <row r="52">
      <c r="A52" s="10" t="n">
        <v>23.4321608040201</v>
      </c>
      <c r="B52" s="11">
        <f>'Parameters &amp; Formulas'!$B$53-(A52+'Parameters &amp; Formulas'!$B$29+'Parameters &amp; Formulas'!$B$17+'Parameters &amp; Formulas'!$B$18)</f>
        <v/>
      </c>
      <c r="C52" s="10">
        <f>IF(B52&lt;='Parameters &amp; Formulas'!$B$36,POWER(10,(B52-'Parameters &amp; Formulas'!$B$35)/20),POWER(10,(B52-'Parameters &amp; Formulas'!$B$35+20*LOG10('Parameters &amp; Formulas'!$B$34))/40))</f>
        <v/>
      </c>
      <c r="D52" s="11">
        <f>C52/1000</f>
        <v/>
      </c>
      <c r="E52" s="12">
        <f>IF(B52&lt;='Parameters &amp; Formulas'!$B$36,"Pre-breakpoint (20 log)","Post-breakpoint (40 log)")</f>
        <v/>
      </c>
    </row>
    <row r="53">
      <c r="A53" s="10" t="n">
        <v>23.2608040201005</v>
      </c>
      <c r="B53" s="11">
        <f>'Parameters &amp; Formulas'!$B$53-(A53+'Parameters &amp; Formulas'!$B$29+'Parameters &amp; Formulas'!$B$17+'Parameters &amp; Formulas'!$B$18)</f>
        <v/>
      </c>
      <c r="C53" s="10">
        <f>IF(B53&lt;='Parameters &amp; Formulas'!$B$36,POWER(10,(B53-'Parameters &amp; Formulas'!$B$35)/20),POWER(10,(B53-'Parameters &amp; Formulas'!$B$35+20*LOG10('Parameters &amp; Formulas'!$B$34))/40))</f>
        <v/>
      </c>
      <c r="D53" s="11">
        <f>C53/1000</f>
        <v/>
      </c>
      <c r="E53" s="12">
        <f>IF(B53&lt;='Parameters &amp; Formulas'!$B$36,"Pre-breakpoint (20 log)","Post-breakpoint (40 log)")</f>
        <v/>
      </c>
    </row>
    <row r="54">
      <c r="A54" s="10" t="n">
        <v>23.0894472361809</v>
      </c>
      <c r="B54" s="11">
        <f>'Parameters &amp; Formulas'!$B$53-(A54+'Parameters &amp; Formulas'!$B$29+'Parameters &amp; Formulas'!$B$17+'Parameters &amp; Formulas'!$B$18)</f>
        <v/>
      </c>
      <c r="C54" s="10">
        <f>IF(B54&lt;='Parameters &amp; Formulas'!$B$36,POWER(10,(B54-'Parameters &amp; Formulas'!$B$35)/20),POWER(10,(B54-'Parameters &amp; Formulas'!$B$35+20*LOG10('Parameters &amp; Formulas'!$B$34))/40))</f>
        <v/>
      </c>
      <c r="D54" s="11">
        <f>C54/1000</f>
        <v/>
      </c>
      <c r="E54" s="12">
        <f>IF(B54&lt;='Parameters &amp; Formulas'!$B$36,"Pre-breakpoint (20 log)","Post-breakpoint (40 log)")</f>
        <v/>
      </c>
    </row>
    <row r="55">
      <c r="A55" s="10" t="n">
        <v>22.91809045226131</v>
      </c>
      <c r="B55" s="11">
        <f>'Parameters &amp; Formulas'!$B$53-(A55+'Parameters &amp; Formulas'!$B$29+'Parameters &amp; Formulas'!$B$17+'Parameters &amp; Formulas'!$B$18)</f>
        <v/>
      </c>
      <c r="C55" s="10">
        <f>IF(B55&lt;='Parameters &amp; Formulas'!$B$36,POWER(10,(B55-'Parameters &amp; Formulas'!$B$35)/20),POWER(10,(B55-'Parameters &amp; Formulas'!$B$35+20*LOG10('Parameters &amp; Formulas'!$B$34))/40))</f>
        <v/>
      </c>
      <c r="D55" s="11">
        <f>C55/1000</f>
        <v/>
      </c>
      <c r="E55" s="12">
        <f>IF(B55&lt;='Parameters &amp; Formulas'!$B$36,"Pre-breakpoint (20 log)","Post-breakpoint (40 log)")</f>
        <v/>
      </c>
    </row>
    <row r="56">
      <c r="A56" s="10" t="n">
        <v>22.74673366834171</v>
      </c>
      <c r="B56" s="11">
        <f>'Parameters &amp; Formulas'!$B$53-(A56+'Parameters &amp; Formulas'!$B$29+'Parameters &amp; Formulas'!$B$17+'Parameters &amp; Formulas'!$B$18)</f>
        <v/>
      </c>
      <c r="C56" s="10">
        <f>IF(B56&lt;='Parameters &amp; Formulas'!$B$36,POWER(10,(B56-'Parameters &amp; Formulas'!$B$35)/20),POWER(10,(B56-'Parameters &amp; Formulas'!$B$35+20*LOG10('Parameters &amp; Formulas'!$B$34))/40))</f>
        <v/>
      </c>
      <c r="D56" s="11">
        <f>C56/1000</f>
        <v/>
      </c>
      <c r="E56" s="12">
        <f>IF(B56&lt;='Parameters &amp; Formulas'!$B$36,"Pre-breakpoint (20 log)","Post-breakpoint (40 log)")</f>
        <v/>
      </c>
    </row>
    <row r="57">
      <c r="A57" s="10" t="n">
        <v>22.57537688442211</v>
      </c>
      <c r="B57" s="11">
        <f>'Parameters &amp; Formulas'!$B$53-(A57+'Parameters &amp; Formulas'!$B$29+'Parameters &amp; Formulas'!$B$17+'Parameters &amp; Formulas'!$B$18)</f>
        <v/>
      </c>
      <c r="C57" s="10">
        <f>IF(B57&lt;='Parameters &amp; Formulas'!$B$36,POWER(10,(B57-'Parameters &amp; Formulas'!$B$35)/20),POWER(10,(B57-'Parameters &amp; Formulas'!$B$35+20*LOG10('Parameters &amp; Formulas'!$B$34))/40))</f>
        <v/>
      </c>
      <c r="D57" s="11">
        <f>C57/1000</f>
        <v/>
      </c>
      <c r="E57" s="12">
        <f>IF(B57&lt;='Parameters &amp; Formulas'!$B$36,"Pre-breakpoint (20 log)","Post-breakpoint (40 log)")</f>
        <v/>
      </c>
    </row>
    <row r="58">
      <c r="A58" s="10" t="n">
        <v>22.40402010050251</v>
      </c>
      <c r="B58" s="11">
        <f>'Parameters &amp; Formulas'!$B$53-(A58+'Parameters &amp; Formulas'!$B$29+'Parameters &amp; Formulas'!$B$17+'Parameters &amp; Formulas'!$B$18)</f>
        <v/>
      </c>
      <c r="C58" s="10">
        <f>IF(B58&lt;='Parameters &amp; Formulas'!$B$36,POWER(10,(B58-'Parameters &amp; Formulas'!$B$35)/20),POWER(10,(B58-'Parameters &amp; Formulas'!$B$35+20*LOG10('Parameters &amp; Formulas'!$B$34))/40))</f>
        <v/>
      </c>
      <c r="D58" s="11">
        <f>C58/1000</f>
        <v/>
      </c>
      <c r="E58" s="12">
        <f>IF(B58&lt;='Parameters &amp; Formulas'!$B$36,"Pre-breakpoint (20 log)","Post-breakpoint (40 log)")</f>
        <v/>
      </c>
    </row>
    <row r="59">
      <c r="A59" s="10" t="n">
        <v>22.23266331658292</v>
      </c>
      <c r="B59" s="11">
        <f>'Parameters &amp; Formulas'!$B$53-(A59+'Parameters &amp; Formulas'!$B$29+'Parameters &amp; Formulas'!$B$17+'Parameters &amp; Formulas'!$B$18)</f>
        <v/>
      </c>
      <c r="C59" s="10">
        <f>IF(B59&lt;='Parameters &amp; Formulas'!$B$36,POWER(10,(B59-'Parameters &amp; Formulas'!$B$35)/20),POWER(10,(B59-'Parameters &amp; Formulas'!$B$35+20*LOG10('Parameters &amp; Formulas'!$B$34))/40))</f>
        <v/>
      </c>
      <c r="D59" s="11">
        <f>C59/1000</f>
        <v/>
      </c>
      <c r="E59" s="12">
        <f>IF(B59&lt;='Parameters &amp; Formulas'!$B$36,"Pre-breakpoint (20 log)","Post-breakpoint (40 log)")</f>
        <v/>
      </c>
    </row>
    <row r="60">
      <c r="A60" s="10" t="n">
        <v>22.06130653266332</v>
      </c>
      <c r="B60" s="11">
        <f>'Parameters &amp; Formulas'!$B$53-(A60+'Parameters &amp; Formulas'!$B$29+'Parameters &amp; Formulas'!$B$17+'Parameters &amp; Formulas'!$B$18)</f>
        <v/>
      </c>
      <c r="C60" s="10">
        <f>IF(B60&lt;='Parameters &amp; Formulas'!$B$36,POWER(10,(B60-'Parameters &amp; Formulas'!$B$35)/20),POWER(10,(B60-'Parameters &amp; Formulas'!$B$35+20*LOG10('Parameters &amp; Formulas'!$B$34))/40))</f>
        <v/>
      </c>
      <c r="D60" s="11">
        <f>C60/1000</f>
        <v/>
      </c>
      <c r="E60" s="12">
        <f>IF(B60&lt;='Parameters &amp; Formulas'!$B$36,"Pre-breakpoint (20 log)","Post-breakpoint (40 log)")</f>
        <v/>
      </c>
    </row>
    <row r="61">
      <c r="A61" s="10" t="n">
        <v>21.88994974874372</v>
      </c>
      <c r="B61" s="11">
        <f>'Parameters &amp; Formulas'!$B$53-(A61+'Parameters &amp; Formulas'!$B$29+'Parameters &amp; Formulas'!$B$17+'Parameters &amp; Formulas'!$B$18)</f>
        <v/>
      </c>
      <c r="C61" s="10">
        <f>IF(B61&lt;='Parameters &amp; Formulas'!$B$36,POWER(10,(B61-'Parameters &amp; Formulas'!$B$35)/20),POWER(10,(B61-'Parameters &amp; Formulas'!$B$35+20*LOG10('Parameters &amp; Formulas'!$B$34))/40))</f>
        <v/>
      </c>
      <c r="D61" s="11">
        <f>C61/1000</f>
        <v/>
      </c>
      <c r="E61" s="12">
        <f>IF(B61&lt;='Parameters &amp; Formulas'!$B$36,"Pre-breakpoint (20 log)","Post-breakpoint (40 log)")</f>
        <v/>
      </c>
    </row>
    <row r="62">
      <c r="A62" s="10" t="n">
        <v>21.71859296482412</v>
      </c>
      <c r="B62" s="11">
        <f>'Parameters &amp; Formulas'!$B$53-(A62+'Parameters &amp; Formulas'!$B$29+'Parameters &amp; Formulas'!$B$17+'Parameters &amp; Formulas'!$B$18)</f>
        <v/>
      </c>
      <c r="C62" s="10">
        <f>IF(B62&lt;='Parameters &amp; Formulas'!$B$36,POWER(10,(B62-'Parameters &amp; Formulas'!$B$35)/20),POWER(10,(B62-'Parameters &amp; Formulas'!$B$35+20*LOG10('Parameters &amp; Formulas'!$B$34))/40))</f>
        <v/>
      </c>
      <c r="D62" s="11">
        <f>C62/1000</f>
        <v/>
      </c>
      <c r="E62" s="12">
        <f>IF(B62&lt;='Parameters &amp; Formulas'!$B$36,"Pre-breakpoint (20 log)","Post-breakpoint (40 log)")</f>
        <v/>
      </c>
    </row>
    <row r="63">
      <c r="A63" s="10" t="n">
        <v>21.54723618090452</v>
      </c>
      <c r="B63" s="11">
        <f>'Parameters &amp; Formulas'!$B$53-(A63+'Parameters &amp; Formulas'!$B$29+'Parameters &amp; Formulas'!$B$17+'Parameters &amp; Formulas'!$B$18)</f>
        <v/>
      </c>
      <c r="C63" s="10">
        <f>IF(B63&lt;='Parameters &amp; Formulas'!$B$36,POWER(10,(B63-'Parameters &amp; Formulas'!$B$35)/20),POWER(10,(B63-'Parameters &amp; Formulas'!$B$35+20*LOG10('Parameters &amp; Formulas'!$B$34))/40))</f>
        <v/>
      </c>
      <c r="D63" s="11">
        <f>C63/1000</f>
        <v/>
      </c>
      <c r="E63" s="12">
        <f>IF(B63&lt;='Parameters &amp; Formulas'!$B$36,"Pre-breakpoint (20 log)","Post-breakpoint (40 log)")</f>
        <v/>
      </c>
    </row>
    <row r="64">
      <c r="A64" s="10" t="n">
        <v>21.37587939698492</v>
      </c>
      <c r="B64" s="11">
        <f>'Parameters &amp; Formulas'!$B$53-(A64+'Parameters &amp; Formulas'!$B$29+'Parameters &amp; Formulas'!$B$17+'Parameters &amp; Formulas'!$B$18)</f>
        <v/>
      </c>
      <c r="C64" s="10">
        <f>IF(B64&lt;='Parameters &amp; Formulas'!$B$36,POWER(10,(B64-'Parameters &amp; Formulas'!$B$35)/20),POWER(10,(B64-'Parameters &amp; Formulas'!$B$35+20*LOG10('Parameters &amp; Formulas'!$B$34))/40))</f>
        <v/>
      </c>
      <c r="D64" s="11">
        <f>C64/1000</f>
        <v/>
      </c>
      <c r="E64" s="12">
        <f>IF(B64&lt;='Parameters &amp; Formulas'!$B$36,"Pre-breakpoint (20 log)","Post-breakpoint (40 log)")</f>
        <v/>
      </c>
    </row>
    <row r="65">
      <c r="A65" s="10" t="n">
        <v>21.20452261306533</v>
      </c>
      <c r="B65" s="11">
        <f>'Parameters &amp; Formulas'!$B$53-(A65+'Parameters &amp; Formulas'!$B$29+'Parameters &amp; Formulas'!$B$17+'Parameters &amp; Formulas'!$B$18)</f>
        <v/>
      </c>
      <c r="C65" s="10">
        <f>IF(B65&lt;='Parameters &amp; Formulas'!$B$36,POWER(10,(B65-'Parameters &amp; Formulas'!$B$35)/20),POWER(10,(B65-'Parameters &amp; Formulas'!$B$35+20*LOG10('Parameters &amp; Formulas'!$B$34))/40))</f>
        <v/>
      </c>
      <c r="D65" s="11">
        <f>C65/1000</f>
        <v/>
      </c>
      <c r="E65" s="12">
        <f>IF(B65&lt;='Parameters &amp; Formulas'!$B$36,"Pre-breakpoint (20 log)","Post-breakpoint (40 log)")</f>
        <v/>
      </c>
    </row>
    <row r="66">
      <c r="A66" s="10" t="n">
        <v>21.03316582914573</v>
      </c>
      <c r="B66" s="11">
        <f>'Parameters &amp; Formulas'!$B$53-(A66+'Parameters &amp; Formulas'!$B$29+'Parameters &amp; Formulas'!$B$17+'Parameters &amp; Formulas'!$B$18)</f>
        <v/>
      </c>
      <c r="C66" s="10">
        <f>IF(B66&lt;='Parameters &amp; Formulas'!$B$36,POWER(10,(B66-'Parameters &amp; Formulas'!$B$35)/20),POWER(10,(B66-'Parameters &amp; Formulas'!$B$35+20*LOG10('Parameters &amp; Formulas'!$B$34))/40))</f>
        <v/>
      </c>
      <c r="D66" s="11">
        <f>C66/1000</f>
        <v/>
      </c>
      <c r="E66" s="12">
        <f>IF(B66&lt;='Parameters &amp; Formulas'!$B$36,"Pre-breakpoint (20 log)","Post-breakpoint (40 log)")</f>
        <v/>
      </c>
    </row>
    <row r="67">
      <c r="A67" s="10" t="n">
        <v>20.86180904522613</v>
      </c>
      <c r="B67" s="11">
        <f>'Parameters &amp; Formulas'!$B$53-(A67+'Parameters &amp; Formulas'!$B$29+'Parameters &amp; Formulas'!$B$17+'Parameters &amp; Formulas'!$B$18)</f>
        <v/>
      </c>
      <c r="C67" s="10">
        <f>IF(B67&lt;='Parameters &amp; Formulas'!$B$36,POWER(10,(B67-'Parameters &amp; Formulas'!$B$35)/20),POWER(10,(B67-'Parameters &amp; Formulas'!$B$35+20*LOG10('Parameters &amp; Formulas'!$B$34))/40))</f>
        <v/>
      </c>
      <c r="D67" s="11">
        <f>C67/1000</f>
        <v/>
      </c>
      <c r="E67" s="12">
        <f>IF(B67&lt;='Parameters &amp; Formulas'!$B$36,"Pre-breakpoint (20 log)","Post-breakpoint (40 log)")</f>
        <v/>
      </c>
    </row>
    <row r="68">
      <c r="A68" s="10" t="n">
        <v>20.69045226130653</v>
      </c>
      <c r="B68" s="11">
        <f>'Parameters &amp; Formulas'!$B$53-(A68+'Parameters &amp; Formulas'!$B$29+'Parameters &amp; Formulas'!$B$17+'Parameters &amp; Formulas'!$B$18)</f>
        <v/>
      </c>
      <c r="C68" s="10">
        <f>IF(B68&lt;='Parameters &amp; Formulas'!$B$36,POWER(10,(B68-'Parameters &amp; Formulas'!$B$35)/20),POWER(10,(B68-'Parameters &amp; Formulas'!$B$35+20*LOG10('Parameters &amp; Formulas'!$B$34))/40))</f>
        <v/>
      </c>
      <c r="D68" s="11">
        <f>C68/1000</f>
        <v/>
      </c>
      <c r="E68" s="12">
        <f>IF(B68&lt;='Parameters &amp; Formulas'!$B$36,"Pre-breakpoint (20 log)","Post-breakpoint (40 log)")</f>
        <v/>
      </c>
    </row>
    <row r="69">
      <c r="A69" s="10" t="n">
        <v>20.51909547738693</v>
      </c>
      <c r="B69" s="11">
        <f>'Parameters &amp; Formulas'!$B$53-(A69+'Parameters &amp; Formulas'!$B$29+'Parameters &amp; Formulas'!$B$17+'Parameters &amp; Formulas'!$B$18)</f>
        <v/>
      </c>
      <c r="C69" s="10">
        <f>IF(B69&lt;='Parameters &amp; Formulas'!$B$36,POWER(10,(B69-'Parameters &amp; Formulas'!$B$35)/20),POWER(10,(B69-'Parameters &amp; Formulas'!$B$35+20*LOG10('Parameters &amp; Formulas'!$B$34))/40))</f>
        <v/>
      </c>
      <c r="D69" s="11">
        <f>C69/1000</f>
        <v/>
      </c>
      <c r="E69" s="12">
        <f>IF(B69&lt;='Parameters &amp; Formulas'!$B$36,"Pre-breakpoint (20 log)","Post-breakpoint (40 log)")</f>
        <v/>
      </c>
    </row>
    <row r="70">
      <c r="A70" s="10" t="n">
        <v>20.34773869346733</v>
      </c>
      <c r="B70" s="11">
        <f>'Parameters &amp; Formulas'!$B$53-(A70+'Parameters &amp; Formulas'!$B$29+'Parameters &amp; Formulas'!$B$17+'Parameters &amp; Formulas'!$B$18)</f>
        <v/>
      </c>
      <c r="C70" s="10">
        <f>IF(B70&lt;='Parameters &amp; Formulas'!$B$36,POWER(10,(B70-'Parameters &amp; Formulas'!$B$35)/20),POWER(10,(B70-'Parameters &amp; Formulas'!$B$35+20*LOG10('Parameters &amp; Formulas'!$B$34))/40))</f>
        <v/>
      </c>
      <c r="D70" s="11">
        <f>C70/1000</f>
        <v/>
      </c>
      <c r="E70" s="12">
        <f>IF(B70&lt;='Parameters &amp; Formulas'!$B$36,"Pre-breakpoint (20 log)","Post-breakpoint (40 log)")</f>
        <v/>
      </c>
    </row>
    <row r="71">
      <c r="A71" s="10" t="n">
        <v>20.17638190954774</v>
      </c>
      <c r="B71" s="11">
        <f>'Parameters &amp; Formulas'!$B$53-(A71+'Parameters &amp; Formulas'!$B$29+'Parameters &amp; Formulas'!$B$17+'Parameters &amp; Formulas'!$B$18)</f>
        <v/>
      </c>
      <c r="C71" s="10">
        <f>IF(B71&lt;='Parameters &amp; Formulas'!$B$36,POWER(10,(B71-'Parameters &amp; Formulas'!$B$35)/20),POWER(10,(B71-'Parameters &amp; Formulas'!$B$35+20*LOG10('Parameters &amp; Formulas'!$B$34))/40))</f>
        <v/>
      </c>
      <c r="D71" s="11">
        <f>C71/1000</f>
        <v/>
      </c>
      <c r="E71" s="12">
        <f>IF(B71&lt;='Parameters &amp; Formulas'!$B$36,"Pre-breakpoint (20 log)","Post-breakpoint (40 log)")</f>
        <v/>
      </c>
    </row>
    <row r="72">
      <c r="A72" s="10" t="n">
        <v>20.00502512562814</v>
      </c>
      <c r="B72" s="11">
        <f>'Parameters &amp; Formulas'!$B$53-(A72+'Parameters &amp; Formulas'!$B$29+'Parameters &amp; Formulas'!$B$17+'Parameters &amp; Formulas'!$B$18)</f>
        <v/>
      </c>
      <c r="C72" s="10">
        <f>IF(B72&lt;='Parameters &amp; Formulas'!$B$36,POWER(10,(B72-'Parameters &amp; Formulas'!$B$35)/20),POWER(10,(B72-'Parameters &amp; Formulas'!$B$35+20*LOG10('Parameters &amp; Formulas'!$B$34))/40))</f>
        <v/>
      </c>
      <c r="D72" s="11">
        <f>C72/1000</f>
        <v/>
      </c>
      <c r="E72" s="12">
        <f>IF(B72&lt;='Parameters &amp; Formulas'!$B$36,"Pre-breakpoint (20 log)","Post-breakpoint (40 log)")</f>
        <v/>
      </c>
    </row>
    <row r="73">
      <c r="A73" s="10" t="n">
        <v>19.83366834170854</v>
      </c>
      <c r="B73" s="11">
        <f>'Parameters &amp; Formulas'!$B$53-(A73+'Parameters &amp; Formulas'!$B$29+'Parameters &amp; Formulas'!$B$17+'Parameters &amp; Formulas'!$B$18)</f>
        <v/>
      </c>
      <c r="C73" s="10">
        <f>IF(B73&lt;='Parameters &amp; Formulas'!$B$36,POWER(10,(B73-'Parameters &amp; Formulas'!$B$35)/20),POWER(10,(B73-'Parameters &amp; Formulas'!$B$35+20*LOG10('Parameters &amp; Formulas'!$B$34))/40))</f>
        <v/>
      </c>
      <c r="D73" s="11">
        <f>C73/1000</f>
        <v/>
      </c>
      <c r="E73" s="12">
        <f>IF(B73&lt;='Parameters &amp; Formulas'!$B$36,"Pre-breakpoint (20 log)","Post-breakpoint (40 log)")</f>
        <v/>
      </c>
    </row>
    <row r="74">
      <c r="A74" s="10" t="n">
        <v>19.66231155778895</v>
      </c>
      <c r="B74" s="11">
        <f>'Parameters &amp; Formulas'!$B$53-(A74+'Parameters &amp; Formulas'!$B$29+'Parameters &amp; Formulas'!$B$17+'Parameters &amp; Formulas'!$B$18)</f>
        <v/>
      </c>
      <c r="C74" s="10">
        <f>IF(B74&lt;='Parameters &amp; Formulas'!$B$36,POWER(10,(B74-'Parameters &amp; Formulas'!$B$35)/20),POWER(10,(B74-'Parameters &amp; Formulas'!$B$35+20*LOG10('Parameters &amp; Formulas'!$B$34))/40))</f>
        <v/>
      </c>
      <c r="D74" s="11">
        <f>C74/1000</f>
        <v/>
      </c>
      <c r="E74" s="12">
        <f>IF(B74&lt;='Parameters &amp; Formulas'!$B$36,"Pre-breakpoint (20 log)","Post-breakpoint (40 log)")</f>
        <v/>
      </c>
    </row>
    <row r="75">
      <c r="A75" s="10" t="n">
        <v>19.49095477386935</v>
      </c>
      <c r="B75" s="11">
        <f>'Parameters &amp; Formulas'!$B$53-(A75+'Parameters &amp; Formulas'!$B$29+'Parameters &amp; Formulas'!$B$17+'Parameters &amp; Formulas'!$B$18)</f>
        <v/>
      </c>
      <c r="C75" s="10">
        <f>IF(B75&lt;='Parameters &amp; Formulas'!$B$36,POWER(10,(B75-'Parameters &amp; Formulas'!$B$35)/20),POWER(10,(B75-'Parameters &amp; Formulas'!$B$35+20*LOG10('Parameters &amp; Formulas'!$B$34))/40))</f>
        <v/>
      </c>
      <c r="D75" s="11">
        <f>C75/1000</f>
        <v/>
      </c>
      <c r="E75" s="12">
        <f>IF(B75&lt;='Parameters &amp; Formulas'!$B$36,"Pre-breakpoint (20 log)","Post-breakpoint (40 log)")</f>
        <v/>
      </c>
    </row>
    <row r="76">
      <c r="A76" s="10" t="n">
        <v>19.31959798994975</v>
      </c>
      <c r="B76" s="11">
        <f>'Parameters &amp; Formulas'!$B$53-(A76+'Parameters &amp; Formulas'!$B$29+'Parameters &amp; Formulas'!$B$17+'Parameters &amp; Formulas'!$B$18)</f>
        <v/>
      </c>
      <c r="C76" s="10">
        <f>IF(B76&lt;='Parameters &amp; Formulas'!$B$36,POWER(10,(B76-'Parameters &amp; Formulas'!$B$35)/20),POWER(10,(B76-'Parameters &amp; Formulas'!$B$35+20*LOG10('Parameters &amp; Formulas'!$B$34))/40))</f>
        <v/>
      </c>
      <c r="D76" s="11">
        <f>C76/1000</f>
        <v/>
      </c>
      <c r="E76" s="12">
        <f>IF(B76&lt;='Parameters &amp; Formulas'!$B$36,"Pre-breakpoint (20 log)","Post-breakpoint (40 log)")</f>
        <v/>
      </c>
    </row>
    <row r="77">
      <c r="A77" s="10" t="n">
        <v>19.14824120603015</v>
      </c>
      <c r="B77" s="11">
        <f>'Parameters &amp; Formulas'!$B$53-(A77+'Parameters &amp; Formulas'!$B$29+'Parameters &amp; Formulas'!$B$17+'Parameters &amp; Formulas'!$B$18)</f>
        <v/>
      </c>
      <c r="C77" s="10">
        <f>IF(B77&lt;='Parameters &amp; Formulas'!$B$36,POWER(10,(B77-'Parameters &amp; Formulas'!$B$35)/20),POWER(10,(B77-'Parameters &amp; Formulas'!$B$35+20*LOG10('Parameters &amp; Formulas'!$B$34))/40))</f>
        <v/>
      </c>
      <c r="D77" s="11">
        <f>C77/1000</f>
        <v/>
      </c>
      <c r="E77" s="12">
        <f>IF(B77&lt;='Parameters &amp; Formulas'!$B$36,"Pre-breakpoint (20 log)","Post-breakpoint (40 log)")</f>
        <v/>
      </c>
    </row>
    <row r="78">
      <c r="A78" s="10" t="n">
        <v>18.97688442211055</v>
      </c>
      <c r="B78" s="11">
        <f>'Parameters &amp; Formulas'!$B$53-(A78+'Parameters &amp; Formulas'!$B$29+'Parameters &amp; Formulas'!$B$17+'Parameters &amp; Formulas'!$B$18)</f>
        <v/>
      </c>
      <c r="C78" s="10">
        <f>IF(B78&lt;='Parameters &amp; Formulas'!$B$36,POWER(10,(B78-'Parameters &amp; Formulas'!$B$35)/20),POWER(10,(B78-'Parameters &amp; Formulas'!$B$35+20*LOG10('Parameters &amp; Formulas'!$B$34))/40))</f>
        <v/>
      </c>
      <c r="D78" s="11">
        <f>C78/1000</f>
        <v/>
      </c>
      <c r="E78" s="12">
        <f>IF(B78&lt;='Parameters &amp; Formulas'!$B$36,"Pre-breakpoint (20 log)","Post-breakpoint (40 log)")</f>
        <v/>
      </c>
    </row>
    <row r="79">
      <c r="A79" s="10" t="n">
        <v>18.80552763819095</v>
      </c>
      <c r="B79" s="11">
        <f>'Parameters &amp; Formulas'!$B$53-(A79+'Parameters &amp; Formulas'!$B$29+'Parameters &amp; Formulas'!$B$17+'Parameters &amp; Formulas'!$B$18)</f>
        <v/>
      </c>
      <c r="C79" s="10">
        <f>IF(B79&lt;='Parameters &amp; Formulas'!$B$36,POWER(10,(B79-'Parameters &amp; Formulas'!$B$35)/20),POWER(10,(B79-'Parameters &amp; Formulas'!$B$35+20*LOG10('Parameters &amp; Formulas'!$B$34))/40))</f>
        <v/>
      </c>
      <c r="D79" s="11">
        <f>C79/1000</f>
        <v/>
      </c>
      <c r="E79" s="12">
        <f>IF(B79&lt;='Parameters &amp; Formulas'!$B$36,"Pre-breakpoint (20 log)","Post-breakpoint (40 log)")</f>
        <v/>
      </c>
    </row>
    <row r="80">
      <c r="A80" s="10" t="n">
        <v>18.63417085427136</v>
      </c>
      <c r="B80" s="11">
        <f>'Parameters &amp; Formulas'!$B$53-(A80+'Parameters &amp; Formulas'!$B$29+'Parameters &amp; Formulas'!$B$17+'Parameters &amp; Formulas'!$B$18)</f>
        <v/>
      </c>
      <c r="C80" s="10">
        <f>IF(B80&lt;='Parameters &amp; Formulas'!$B$36,POWER(10,(B80-'Parameters &amp; Formulas'!$B$35)/20),POWER(10,(B80-'Parameters &amp; Formulas'!$B$35+20*LOG10('Parameters &amp; Formulas'!$B$34))/40))</f>
        <v/>
      </c>
      <c r="D80" s="11">
        <f>C80/1000</f>
        <v/>
      </c>
      <c r="E80" s="12">
        <f>IF(B80&lt;='Parameters &amp; Formulas'!$B$36,"Pre-breakpoint (20 log)","Post-breakpoint (40 log)")</f>
        <v/>
      </c>
    </row>
    <row r="81">
      <c r="A81" s="10" t="n">
        <v>18.46281407035176</v>
      </c>
      <c r="B81" s="11">
        <f>'Parameters &amp; Formulas'!$B$53-(A81+'Parameters &amp; Formulas'!$B$29+'Parameters &amp; Formulas'!$B$17+'Parameters &amp; Formulas'!$B$18)</f>
        <v/>
      </c>
      <c r="C81" s="10">
        <f>IF(B81&lt;='Parameters &amp; Formulas'!$B$36,POWER(10,(B81-'Parameters &amp; Formulas'!$B$35)/20),POWER(10,(B81-'Parameters &amp; Formulas'!$B$35+20*LOG10('Parameters &amp; Formulas'!$B$34))/40))</f>
        <v/>
      </c>
      <c r="D81" s="11">
        <f>C81/1000</f>
        <v/>
      </c>
      <c r="E81" s="12">
        <f>IF(B81&lt;='Parameters &amp; Formulas'!$B$36,"Pre-breakpoint (20 log)","Post-breakpoint (40 log)")</f>
        <v/>
      </c>
    </row>
    <row r="82">
      <c r="A82" s="10" t="n">
        <v>18.29145728643216</v>
      </c>
      <c r="B82" s="11">
        <f>'Parameters &amp; Formulas'!$B$53-(A82+'Parameters &amp; Formulas'!$B$29+'Parameters &amp; Formulas'!$B$17+'Parameters &amp; Formulas'!$B$18)</f>
        <v/>
      </c>
      <c r="C82" s="10">
        <f>IF(B82&lt;='Parameters &amp; Formulas'!$B$36,POWER(10,(B82-'Parameters &amp; Formulas'!$B$35)/20),POWER(10,(B82-'Parameters &amp; Formulas'!$B$35+20*LOG10('Parameters &amp; Formulas'!$B$34))/40))</f>
        <v/>
      </c>
      <c r="D82" s="11">
        <f>C82/1000</f>
        <v/>
      </c>
      <c r="E82" s="12">
        <f>IF(B82&lt;='Parameters &amp; Formulas'!$B$36,"Pre-breakpoint (20 log)","Post-breakpoint (40 log)")</f>
        <v/>
      </c>
    </row>
    <row r="83">
      <c r="A83" s="10" t="n">
        <v>18.12010050251256</v>
      </c>
      <c r="B83" s="11">
        <f>'Parameters &amp; Formulas'!$B$53-(A83+'Parameters &amp; Formulas'!$B$29+'Parameters &amp; Formulas'!$B$17+'Parameters &amp; Formulas'!$B$18)</f>
        <v/>
      </c>
      <c r="C83" s="10">
        <f>IF(B83&lt;='Parameters &amp; Formulas'!$B$36,POWER(10,(B83-'Parameters &amp; Formulas'!$B$35)/20),POWER(10,(B83-'Parameters &amp; Formulas'!$B$35+20*LOG10('Parameters &amp; Formulas'!$B$34))/40))</f>
        <v/>
      </c>
      <c r="D83" s="11">
        <f>C83/1000</f>
        <v/>
      </c>
      <c r="E83" s="12">
        <f>IF(B83&lt;='Parameters &amp; Formulas'!$B$36,"Pre-breakpoint (20 log)","Post-breakpoint (40 log)")</f>
        <v/>
      </c>
    </row>
    <row r="84">
      <c r="A84" s="10" t="n">
        <v>17.94874371859297</v>
      </c>
      <c r="B84" s="11">
        <f>'Parameters &amp; Formulas'!$B$53-(A84+'Parameters &amp; Formulas'!$B$29+'Parameters &amp; Formulas'!$B$17+'Parameters &amp; Formulas'!$B$18)</f>
        <v/>
      </c>
      <c r="C84" s="10">
        <f>IF(B84&lt;='Parameters &amp; Formulas'!$B$36,POWER(10,(B84-'Parameters &amp; Formulas'!$B$35)/20),POWER(10,(B84-'Parameters &amp; Formulas'!$B$35+20*LOG10('Parameters &amp; Formulas'!$B$34))/40))</f>
        <v/>
      </c>
      <c r="D84" s="11">
        <f>C84/1000</f>
        <v/>
      </c>
      <c r="E84" s="12">
        <f>IF(B84&lt;='Parameters &amp; Formulas'!$B$36,"Pre-breakpoint (20 log)","Post-breakpoint (40 log)")</f>
        <v/>
      </c>
    </row>
    <row r="85">
      <c r="A85" s="10" t="n">
        <v>17.77738693467337</v>
      </c>
      <c r="B85" s="11">
        <f>'Parameters &amp; Formulas'!$B$53-(A85+'Parameters &amp; Formulas'!$B$29+'Parameters &amp; Formulas'!$B$17+'Parameters &amp; Formulas'!$B$18)</f>
        <v/>
      </c>
      <c r="C85" s="10">
        <f>IF(B85&lt;='Parameters &amp; Formulas'!$B$36,POWER(10,(B85-'Parameters &amp; Formulas'!$B$35)/20),POWER(10,(B85-'Parameters &amp; Formulas'!$B$35+20*LOG10('Parameters &amp; Formulas'!$B$34))/40))</f>
        <v/>
      </c>
      <c r="D85" s="11">
        <f>C85/1000</f>
        <v/>
      </c>
      <c r="E85" s="12">
        <f>IF(B85&lt;='Parameters &amp; Formulas'!$B$36,"Pre-breakpoint (20 log)","Post-breakpoint (40 log)")</f>
        <v/>
      </c>
    </row>
    <row r="86">
      <c r="A86" s="10" t="n">
        <v>17.60603015075377</v>
      </c>
      <c r="B86" s="11">
        <f>'Parameters &amp; Formulas'!$B$53-(A86+'Parameters &amp; Formulas'!$B$29+'Parameters &amp; Formulas'!$B$17+'Parameters &amp; Formulas'!$B$18)</f>
        <v/>
      </c>
      <c r="C86" s="10">
        <f>IF(B86&lt;='Parameters &amp; Formulas'!$B$36,POWER(10,(B86-'Parameters &amp; Formulas'!$B$35)/20),POWER(10,(B86-'Parameters &amp; Formulas'!$B$35+20*LOG10('Parameters &amp; Formulas'!$B$34))/40))</f>
        <v/>
      </c>
      <c r="D86" s="11">
        <f>C86/1000</f>
        <v/>
      </c>
      <c r="E86" s="12">
        <f>IF(B86&lt;='Parameters &amp; Formulas'!$B$36,"Pre-breakpoint (20 log)","Post-breakpoint (40 log)")</f>
        <v/>
      </c>
    </row>
    <row r="87">
      <c r="A87" s="10" t="n">
        <v>17.43467336683417</v>
      </c>
      <c r="B87" s="11">
        <f>'Parameters &amp; Formulas'!$B$53-(A87+'Parameters &amp; Formulas'!$B$29+'Parameters &amp; Formulas'!$B$17+'Parameters &amp; Formulas'!$B$18)</f>
        <v/>
      </c>
      <c r="C87" s="10">
        <f>IF(B87&lt;='Parameters &amp; Formulas'!$B$36,POWER(10,(B87-'Parameters &amp; Formulas'!$B$35)/20),POWER(10,(B87-'Parameters &amp; Formulas'!$B$35+20*LOG10('Parameters &amp; Formulas'!$B$34))/40))</f>
        <v/>
      </c>
      <c r="D87" s="11">
        <f>C87/1000</f>
        <v/>
      </c>
      <c r="E87" s="12">
        <f>IF(B87&lt;='Parameters &amp; Formulas'!$B$36,"Pre-breakpoint (20 log)","Post-breakpoint (40 log)")</f>
        <v/>
      </c>
    </row>
    <row r="88">
      <c r="A88" s="10" t="n">
        <v>17.26331658291457</v>
      </c>
      <c r="B88" s="11">
        <f>'Parameters &amp; Formulas'!$B$53-(A88+'Parameters &amp; Formulas'!$B$29+'Parameters &amp; Formulas'!$B$17+'Parameters &amp; Formulas'!$B$18)</f>
        <v/>
      </c>
      <c r="C88" s="10">
        <f>IF(B88&lt;='Parameters &amp; Formulas'!$B$36,POWER(10,(B88-'Parameters &amp; Formulas'!$B$35)/20),POWER(10,(B88-'Parameters &amp; Formulas'!$B$35+20*LOG10('Parameters &amp; Formulas'!$B$34))/40))</f>
        <v/>
      </c>
      <c r="D88" s="11">
        <f>C88/1000</f>
        <v/>
      </c>
      <c r="E88" s="12">
        <f>IF(B88&lt;='Parameters &amp; Formulas'!$B$36,"Pre-breakpoint (20 log)","Post-breakpoint (40 log)")</f>
        <v/>
      </c>
    </row>
    <row r="89">
      <c r="A89" s="10" t="n">
        <v>17.09195979899497</v>
      </c>
      <c r="B89" s="11">
        <f>'Parameters &amp; Formulas'!$B$53-(A89+'Parameters &amp; Formulas'!$B$29+'Parameters &amp; Formulas'!$B$17+'Parameters &amp; Formulas'!$B$18)</f>
        <v/>
      </c>
      <c r="C89" s="10">
        <f>IF(B89&lt;='Parameters &amp; Formulas'!$B$36,POWER(10,(B89-'Parameters &amp; Formulas'!$B$35)/20),POWER(10,(B89-'Parameters &amp; Formulas'!$B$35+20*LOG10('Parameters &amp; Formulas'!$B$34))/40))</f>
        <v/>
      </c>
      <c r="D89" s="11">
        <f>C89/1000</f>
        <v/>
      </c>
      <c r="E89" s="12">
        <f>IF(B89&lt;='Parameters &amp; Formulas'!$B$36,"Pre-breakpoint (20 log)","Post-breakpoint (40 log)")</f>
        <v/>
      </c>
    </row>
    <row r="90">
      <c r="A90" s="10" t="n">
        <v>16.92060301507538</v>
      </c>
      <c r="B90" s="11">
        <f>'Parameters &amp; Formulas'!$B$53-(A90+'Parameters &amp; Formulas'!$B$29+'Parameters &amp; Formulas'!$B$17+'Parameters &amp; Formulas'!$B$18)</f>
        <v/>
      </c>
      <c r="C90" s="10">
        <f>IF(B90&lt;='Parameters &amp; Formulas'!$B$36,POWER(10,(B90-'Parameters &amp; Formulas'!$B$35)/20),POWER(10,(B90-'Parameters &amp; Formulas'!$B$35+20*LOG10('Parameters &amp; Formulas'!$B$34))/40))</f>
        <v/>
      </c>
      <c r="D90" s="11">
        <f>C90/1000</f>
        <v/>
      </c>
      <c r="E90" s="12">
        <f>IF(B90&lt;='Parameters &amp; Formulas'!$B$36,"Pre-breakpoint (20 log)","Post-breakpoint (40 log)")</f>
        <v/>
      </c>
    </row>
    <row r="91">
      <c r="A91" s="10" t="n">
        <v>16.74924623115578</v>
      </c>
      <c r="B91" s="11">
        <f>'Parameters &amp; Formulas'!$B$53-(A91+'Parameters &amp; Formulas'!$B$29+'Parameters &amp; Formulas'!$B$17+'Parameters &amp; Formulas'!$B$18)</f>
        <v/>
      </c>
      <c r="C91" s="10">
        <f>IF(B91&lt;='Parameters &amp; Formulas'!$B$36,POWER(10,(B91-'Parameters &amp; Formulas'!$B$35)/20),POWER(10,(B91-'Parameters &amp; Formulas'!$B$35+20*LOG10('Parameters &amp; Formulas'!$B$34))/40))</f>
        <v/>
      </c>
      <c r="D91" s="11">
        <f>C91/1000</f>
        <v/>
      </c>
      <c r="E91" s="12">
        <f>IF(B91&lt;='Parameters &amp; Formulas'!$B$36,"Pre-breakpoint (20 log)","Post-breakpoint (40 log)")</f>
        <v/>
      </c>
    </row>
    <row r="92">
      <c r="A92" s="10" t="n">
        <v>16.57788944723618</v>
      </c>
      <c r="B92" s="11">
        <f>'Parameters &amp; Formulas'!$B$53-(A92+'Parameters &amp; Formulas'!$B$29+'Parameters &amp; Formulas'!$B$17+'Parameters &amp; Formulas'!$B$18)</f>
        <v/>
      </c>
      <c r="C92" s="10">
        <f>IF(B92&lt;='Parameters &amp; Formulas'!$B$36,POWER(10,(B92-'Parameters &amp; Formulas'!$B$35)/20),POWER(10,(B92-'Parameters &amp; Formulas'!$B$35+20*LOG10('Parameters &amp; Formulas'!$B$34))/40))</f>
        <v/>
      </c>
      <c r="D92" s="11">
        <f>C92/1000</f>
        <v/>
      </c>
      <c r="E92" s="12">
        <f>IF(B92&lt;='Parameters &amp; Formulas'!$B$36,"Pre-breakpoint (20 log)","Post-breakpoint (40 log)")</f>
        <v/>
      </c>
    </row>
    <row r="93">
      <c r="A93" s="10" t="n">
        <v>16.40653266331658</v>
      </c>
      <c r="B93" s="11">
        <f>'Parameters &amp; Formulas'!$B$53-(A93+'Parameters &amp; Formulas'!$B$29+'Parameters &amp; Formulas'!$B$17+'Parameters &amp; Formulas'!$B$18)</f>
        <v/>
      </c>
      <c r="C93" s="10">
        <f>IF(B93&lt;='Parameters &amp; Formulas'!$B$36,POWER(10,(B93-'Parameters &amp; Formulas'!$B$35)/20),POWER(10,(B93-'Parameters &amp; Formulas'!$B$35+20*LOG10('Parameters &amp; Formulas'!$B$34))/40))</f>
        <v/>
      </c>
      <c r="D93" s="11">
        <f>C93/1000</f>
        <v/>
      </c>
      <c r="E93" s="12">
        <f>IF(B93&lt;='Parameters &amp; Formulas'!$B$36,"Pre-breakpoint (20 log)","Post-breakpoint (40 log)")</f>
        <v/>
      </c>
    </row>
    <row r="94">
      <c r="A94" s="10" t="n">
        <v>16.23517587939698</v>
      </c>
      <c r="B94" s="11">
        <f>'Parameters &amp; Formulas'!$B$53-(A94+'Parameters &amp; Formulas'!$B$29+'Parameters &amp; Formulas'!$B$17+'Parameters &amp; Formulas'!$B$18)</f>
        <v/>
      </c>
      <c r="C94" s="10">
        <f>IF(B94&lt;='Parameters &amp; Formulas'!$B$36,POWER(10,(B94-'Parameters &amp; Formulas'!$B$35)/20),POWER(10,(B94-'Parameters &amp; Formulas'!$B$35+20*LOG10('Parameters &amp; Formulas'!$B$34))/40))</f>
        <v/>
      </c>
      <c r="D94" s="11">
        <f>C94/1000</f>
        <v/>
      </c>
      <c r="E94" s="12">
        <f>IF(B94&lt;='Parameters &amp; Formulas'!$B$36,"Pre-breakpoint (20 log)","Post-breakpoint (40 log)")</f>
        <v/>
      </c>
    </row>
    <row r="95">
      <c r="A95" s="10" t="n">
        <v>16.06381909547738</v>
      </c>
      <c r="B95" s="11">
        <f>'Parameters &amp; Formulas'!$B$53-(A95+'Parameters &amp; Formulas'!$B$29+'Parameters &amp; Formulas'!$B$17+'Parameters &amp; Formulas'!$B$18)</f>
        <v/>
      </c>
      <c r="C95" s="10">
        <f>IF(B95&lt;='Parameters &amp; Formulas'!$B$36,POWER(10,(B95-'Parameters &amp; Formulas'!$B$35)/20),POWER(10,(B95-'Parameters &amp; Formulas'!$B$35+20*LOG10('Parameters &amp; Formulas'!$B$34))/40))</f>
        <v/>
      </c>
      <c r="D95" s="11">
        <f>C95/1000</f>
        <v/>
      </c>
      <c r="E95" s="12">
        <f>IF(B95&lt;='Parameters &amp; Formulas'!$B$36,"Pre-breakpoint (20 log)","Post-breakpoint (40 log)")</f>
        <v/>
      </c>
    </row>
    <row r="96">
      <c r="A96" s="10" t="n">
        <v>15.89246231155779</v>
      </c>
      <c r="B96" s="11">
        <f>'Parameters &amp; Formulas'!$B$53-(A96+'Parameters &amp; Formulas'!$B$29+'Parameters &amp; Formulas'!$B$17+'Parameters &amp; Formulas'!$B$18)</f>
        <v/>
      </c>
      <c r="C96" s="10">
        <f>IF(B96&lt;='Parameters &amp; Formulas'!$B$36,POWER(10,(B96-'Parameters &amp; Formulas'!$B$35)/20),POWER(10,(B96-'Parameters &amp; Formulas'!$B$35+20*LOG10('Parameters &amp; Formulas'!$B$34))/40))</f>
        <v/>
      </c>
      <c r="D96" s="11">
        <f>C96/1000</f>
        <v/>
      </c>
      <c r="E96" s="12">
        <f>IF(B96&lt;='Parameters &amp; Formulas'!$B$36,"Pre-breakpoint (20 log)","Post-breakpoint (40 log)")</f>
        <v/>
      </c>
    </row>
    <row r="97">
      <c r="A97" s="10" t="n">
        <v>15.72110552763819</v>
      </c>
      <c r="B97" s="11">
        <f>'Parameters &amp; Formulas'!$B$53-(A97+'Parameters &amp; Formulas'!$B$29+'Parameters &amp; Formulas'!$B$17+'Parameters &amp; Formulas'!$B$18)</f>
        <v/>
      </c>
      <c r="C97" s="10">
        <f>IF(B97&lt;='Parameters &amp; Formulas'!$B$36,POWER(10,(B97-'Parameters &amp; Formulas'!$B$35)/20),POWER(10,(B97-'Parameters &amp; Formulas'!$B$35+20*LOG10('Parameters &amp; Formulas'!$B$34))/40))</f>
        <v/>
      </c>
      <c r="D97" s="11">
        <f>C97/1000</f>
        <v/>
      </c>
      <c r="E97" s="12">
        <f>IF(B97&lt;='Parameters &amp; Formulas'!$B$36,"Pre-breakpoint (20 log)","Post-breakpoint (40 log)")</f>
        <v/>
      </c>
    </row>
    <row r="98">
      <c r="A98" s="10" t="n">
        <v>15.54974874371859</v>
      </c>
      <c r="B98" s="11">
        <f>'Parameters &amp; Formulas'!$B$53-(A98+'Parameters &amp; Formulas'!$B$29+'Parameters &amp; Formulas'!$B$17+'Parameters &amp; Formulas'!$B$18)</f>
        <v/>
      </c>
      <c r="C98" s="10">
        <f>IF(B98&lt;='Parameters &amp; Formulas'!$B$36,POWER(10,(B98-'Parameters &amp; Formulas'!$B$35)/20),POWER(10,(B98-'Parameters &amp; Formulas'!$B$35+20*LOG10('Parameters &amp; Formulas'!$B$34))/40))</f>
        <v/>
      </c>
      <c r="D98" s="11">
        <f>C98/1000</f>
        <v/>
      </c>
      <c r="E98" s="12">
        <f>IF(B98&lt;='Parameters &amp; Formulas'!$B$36,"Pre-breakpoint (20 log)","Post-breakpoint (40 log)")</f>
        <v/>
      </c>
    </row>
    <row r="99">
      <c r="A99" s="10" t="n">
        <v>15.37839195979899</v>
      </c>
      <c r="B99" s="11">
        <f>'Parameters &amp; Formulas'!$B$53-(A99+'Parameters &amp; Formulas'!$B$29+'Parameters &amp; Formulas'!$B$17+'Parameters &amp; Formulas'!$B$18)</f>
        <v/>
      </c>
      <c r="C99" s="10">
        <f>IF(B99&lt;='Parameters &amp; Formulas'!$B$36,POWER(10,(B99-'Parameters &amp; Formulas'!$B$35)/20),POWER(10,(B99-'Parameters &amp; Formulas'!$B$35+20*LOG10('Parameters &amp; Formulas'!$B$34))/40))</f>
        <v/>
      </c>
      <c r="D99" s="11">
        <f>C99/1000</f>
        <v/>
      </c>
      <c r="E99" s="12">
        <f>IF(B99&lt;='Parameters &amp; Formulas'!$B$36,"Pre-breakpoint (20 log)","Post-breakpoint (40 log)")</f>
        <v/>
      </c>
    </row>
    <row r="100">
      <c r="A100" s="10" t="n">
        <v>15.2070351758794</v>
      </c>
      <c r="B100" s="11">
        <f>'Parameters &amp; Formulas'!$B$53-(A100+'Parameters &amp; Formulas'!$B$29+'Parameters &amp; Formulas'!$B$17+'Parameters &amp; Formulas'!$B$18)</f>
        <v/>
      </c>
      <c r="C100" s="10">
        <f>IF(B100&lt;='Parameters &amp; Formulas'!$B$36,POWER(10,(B100-'Parameters &amp; Formulas'!$B$35)/20),POWER(10,(B100-'Parameters &amp; Formulas'!$B$35+20*LOG10('Parameters &amp; Formulas'!$B$34))/40))</f>
        <v/>
      </c>
      <c r="D100" s="11">
        <f>C100/1000</f>
        <v/>
      </c>
      <c r="E100" s="12">
        <f>IF(B100&lt;='Parameters &amp; Formulas'!$B$36,"Pre-breakpoint (20 log)","Post-breakpoint (40 log)")</f>
        <v/>
      </c>
    </row>
    <row r="101">
      <c r="A101" s="10" t="n">
        <v>15.0356783919598</v>
      </c>
      <c r="B101" s="11">
        <f>'Parameters &amp; Formulas'!$B$53-(A101+'Parameters &amp; Formulas'!$B$29+'Parameters &amp; Formulas'!$B$17+'Parameters &amp; Formulas'!$B$18)</f>
        <v/>
      </c>
      <c r="C101" s="10">
        <f>IF(B101&lt;='Parameters &amp; Formulas'!$B$36,POWER(10,(B101-'Parameters &amp; Formulas'!$B$35)/20),POWER(10,(B101-'Parameters &amp; Formulas'!$B$35+20*LOG10('Parameters &amp; Formulas'!$B$34))/40))</f>
        <v/>
      </c>
      <c r="D101" s="11">
        <f>C101/1000</f>
        <v/>
      </c>
      <c r="E101" s="12">
        <f>IF(B101&lt;='Parameters &amp; Formulas'!$B$36,"Pre-breakpoint (20 log)","Post-breakpoint (40 log)")</f>
        <v/>
      </c>
    </row>
    <row r="102">
      <c r="A102" s="10" t="n">
        <v>14.8643216080402</v>
      </c>
      <c r="B102" s="11">
        <f>'Parameters &amp; Formulas'!$B$53-(A102+'Parameters &amp; Formulas'!$B$29+'Parameters &amp; Formulas'!$B$17+'Parameters &amp; Formulas'!$B$18)</f>
        <v/>
      </c>
      <c r="C102" s="10">
        <f>IF(B102&lt;='Parameters &amp; Formulas'!$B$36,POWER(10,(B102-'Parameters &amp; Formulas'!$B$35)/20),POWER(10,(B102-'Parameters &amp; Formulas'!$B$35+20*LOG10('Parameters &amp; Formulas'!$B$34))/40))</f>
        <v/>
      </c>
      <c r="D102" s="11">
        <f>C102/1000</f>
        <v/>
      </c>
      <c r="E102" s="12">
        <f>IF(B102&lt;='Parameters &amp; Formulas'!$B$36,"Pre-breakpoint (20 log)","Post-breakpoint (40 log)")</f>
        <v/>
      </c>
    </row>
    <row r="103">
      <c r="A103" s="10" t="n">
        <v>14.6929648241206</v>
      </c>
      <c r="B103" s="11">
        <f>'Parameters &amp; Formulas'!$B$53-(A103+'Parameters &amp; Formulas'!$B$29+'Parameters &amp; Formulas'!$B$17+'Parameters &amp; Formulas'!$B$18)</f>
        <v/>
      </c>
      <c r="C103" s="10">
        <f>IF(B103&lt;='Parameters &amp; Formulas'!$B$36,POWER(10,(B103-'Parameters &amp; Formulas'!$B$35)/20),POWER(10,(B103-'Parameters &amp; Formulas'!$B$35+20*LOG10('Parameters &amp; Formulas'!$B$34))/40))</f>
        <v/>
      </c>
      <c r="D103" s="11">
        <f>C103/1000</f>
        <v/>
      </c>
      <c r="E103" s="12">
        <f>IF(B103&lt;='Parameters &amp; Formulas'!$B$36,"Pre-breakpoint (20 log)","Post-breakpoint (40 log)")</f>
        <v/>
      </c>
    </row>
    <row r="104">
      <c r="A104" s="10" t="n">
        <v>14.52160804020101</v>
      </c>
      <c r="B104" s="11">
        <f>'Parameters &amp; Formulas'!$B$53-(A104+'Parameters &amp; Formulas'!$B$29+'Parameters &amp; Formulas'!$B$17+'Parameters &amp; Formulas'!$B$18)</f>
        <v/>
      </c>
      <c r="C104" s="10">
        <f>IF(B104&lt;='Parameters &amp; Formulas'!$B$36,POWER(10,(B104-'Parameters &amp; Formulas'!$B$35)/20),POWER(10,(B104-'Parameters &amp; Formulas'!$B$35+20*LOG10('Parameters &amp; Formulas'!$B$34))/40))</f>
        <v/>
      </c>
      <c r="D104" s="11">
        <f>C104/1000</f>
        <v/>
      </c>
      <c r="E104" s="12">
        <f>IF(B104&lt;='Parameters &amp; Formulas'!$B$36,"Pre-breakpoint (20 log)","Post-breakpoint (40 log)")</f>
        <v/>
      </c>
    </row>
    <row r="105">
      <c r="A105" s="10" t="n">
        <v>14.35025125628141</v>
      </c>
      <c r="B105" s="11">
        <f>'Parameters &amp; Formulas'!$B$53-(A105+'Parameters &amp; Formulas'!$B$29+'Parameters &amp; Formulas'!$B$17+'Parameters &amp; Formulas'!$B$18)</f>
        <v/>
      </c>
      <c r="C105" s="10">
        <f>IF(B105&lt;='Parameters &amp; Formulas'!$B$36,POWER(10,(B105-'Parameters &amp; Formulas'!$B$35)/20),POWER(10,(B105-'Parameters &amp; Formulas'!$B$35+20*LOG10('Parameters &amp; Formulas'!$B$34))/40))</f>
        <v/>
      </c>
      <c r="D105" s="11">
        <f>C105/1000</f>
        <v/>
      </c>
      <c r="E105" s="12">
        <f>IF(B105&lt;='Parameters &amp; Formulas'!$B$36,"Pre-breakpoint (20 log)","Post-breakpoint (40 log)")</f>
        <v/>
      </c>
    </row>
    <row r="106">
      <c r="A106" s="10" t="n">
        <v>14.17889447236181</v>
      </c>
      <c r="B106" s="11">
        <f>'Parameters &amp; Formulas'!$B$53-(A106+'Parameters &amp; Formulas'!$B$29+'Parameters &amp; Formulas'!$B$17+'Parameters &amp; Formulas'!$B$18)</f>
        <v/>
      </c>
      <c r="C106" s="10">
        <f>IF(B106&lt;='Parameters &amp; Formulas'!$B$36,POWER(10,(B106-'Parameters &amp; Formulas'!$B$35)/20),POWER(10,(B106-'Parameters &amp; Formulas'!$B$35+20*LOG10('Parameters &amp; Formulas'!$B$34))/40))</f>
        <v/>
      </c>
      <c r="D106" s="11">
        <f>C106/1000</f>
        <v/>
      </c>
      <c r="E106" s="12">
        <f>IF(B106&lt;='Parameters &amp; Formulas'!$B$36,"Pre-breakpoint (20 log)","Post-breakpoint (40 log)")</f>
        <v/>
      </c>
    </row>
    <row r="107">
      <c r="A107" s="10" t="n">
        <v>14.00753768844221</v>
      </c>
      <c r="B107" s="11">
        <f>'Parameters &amp; Formulas'!$B$53-(A107+'Parameters &amp; Formulas'!$B$29+'Parameters &amp; Formulas'!$B$17+'Parameters &amp; Formulas'!$B$18)</f>
        <v/>
      </c>
      <c r="C107" s="10">
        <f>IF(B107&lt;='Parameters &amp; Formulas'!$B$36,POWER(10,(B107-'Parameters &amp; Formulas'!$B$35)/20),POWER(10,(B107-'Parameters &amp; Formulas'!$B$35+20*LOG10('Parameters &amp; Formulas'!$B$34))/40))</f>
        <v/>
      </c>
      <c r="D107" s="11">
        <f>C107/1000</f>
        <v/>
      </c>
      <c r="E107" s="12">
        <f>IF(B107&lt;='Parameters &amp; Formulas'!$B$36,"Pre-breakpoint (20 log)","Post-breakpoint (40 log)")</f>
        <v/>
      </c>
    </row>
    <row r="108">
      <c r="A108" s="10" t="n">
        <v>13.83618090452261</v>
      </c>
      <c r="B108" s="11">
        <f>'Parameters &amp; Formulas'!$B$53-(A108+'Parameters &amp; Formulas'!$B$29+'Parameters &amp; Formulas'!$B$17+'Parameters &amp; Formulas'!$B$18)</f>
        <v/>
      </c>
      <c r="C108" s="10">
        <f>IF(B108&lt;='Parameters &amp; Formulas'!$B$36,POWER(10,(B108-'Parameters &amp; Formulas'!$B$35)/20),POWER(10,(B108-'Parameters &amp; Formulas'!$B$35+20*LOG10('Parameters &amp; Formulas'!$B$34))/40))</f>
        <v/>
      </c>
      <c r="D108" s="11">
        <f>C108/1000</f>
        <v/>
      </c>
      <c r="E108" s="12">
        <f>IF(B108&lt;='Parameters &amp; Formulas'!$B$36,"Pre-breakpoint (20 log)","Post-breakpoint (40 log)")</f>
        <v/>
      </c>
    </row>
    <row r="109">
      <c r="A109" s="10" t="n">
        <v>13.66482412060301</v>
      </c>
      <c r="B109" s="11">
        <f>'Parameters &amp; Formulas'!$B$53-(A109+'Parameters &amp; Formulas'!$B$29+'Parameters &amp; Formulas'!$B$17+'Parameters &amp; Formulas'!$B$18)</f>
        <v/>
      </c>
      <c r="C109" s="10">
        <f>IF(B109&lt;='Parameters &amp; Formulas'!$B$36,POWER(10,(B109-'Parameters &amp; Formulas'!$B$35)/20),POWER(10,(B109-'Parameters &amp; Formulas'!$B$35+20*LOG10('Parameters &amp; Formulas'!$B$34))/40))</f>
        <v/>
      </c>
      <c r="D109" s="11">
        <f>C109/1000</f>
        <v/>
      </c>
      <c r="E109" s="12">
        <f>IF(B109&lt;='Parameters &amp; Formulas'!$B$36,"Pre-breakpoint (20 log)","Post-breakpoint (40 log)")</f>
        <v/>
      </c>
    </row>
    <row r="110">
      <c r="A110" s="10" t="n">
        <v>13.49346733668342</v>
      </c>
      <c r="B110" s="11">
        <f>'Parameters &amp; Formulas'!$B$53-(A110+'Parameters &amp; Formulas'!$B$29+'Parameters &amp; Formulas'!$B$17+'Parameters &amp; Formulas'!$B$18)</f>
        <v/>
      </c>
      <c r="C110" s="10">
        <f>IF(B110&lt;='Parameters &amp; Formulas'!$B$36,POWER(10,(B110-'Parameters &amp; Formulas'!$B$35)/20),POWER(10,(B110-'Parameters &amp; Formulas'!$B$35+20*LOG10('Parameters &amp; Formulas'!$B$34))/40))</f>
        <v/>
      </c>
      <c r="D110" s="11">
        <f>C110/1000</f>
        <v/>
      </c>
      <c r="E110" s="12">
        <f>IF(B110&lt;='Parameters &amp; Formulas'!$B$36,"Pre-breakpoint (20 log)","Post-breakpoint (40 log)")</f>
        <v/>
      </c>
    </row>
    <row r="111">
      <c r="A111" s="10" t="n">
        <v>13.32211055276382</v>
      </c>
      <c r="B111" s="11">
        <f>'Parameters &amp; Formulas'!$B$53-(A111+'Parameters &amp; Formulas'!$B$29+'Parameters &amp; Formulas'!$B$17+'Parameters &amp; Formulas'!$B$18)</f>
        <v/>
      </c>
      <c r="C111" s="10">
        <f>IF(B111&lt;='Parameters &amp; Formulas'!$B$36,POWER(10,(B111-'Parameters &amp; Formulas'!$B$35)/20),POWER(10,(B111-'Parameters &amp; Formulas'!$B$35+20*LOG10('Parameters &amp; Formulas'!$B$34))/40))</f>
        <v/>
      </c>
      <c r="D111" s="11">
        <f>C111/1000</f>
        <v/>
      </c>
      <c r="E111" s="12">
        <f>IF(B111&lt;='Parameters &amp; Formulas'!$B$36,"Pre-breakpoint (20 log)","Post-breakpoint (40 log)")</f>
        <v/>
      </c>
    </row>
    <row r="112">
      <c r="A112" s="10" t="n">
        <v>13.15075376884422</v>
      </c>
      <c r="B112" s="11">
        <f>'Parameters &amp; Formulas'!$B$53-(A112+'Parameters &amp; Formulas'!$B$29+'Parameters &amp; Formulas'!$B$17+'Parameters &amp; Formulas'!$B$18)</f>
        <v/>
      </c>
      <c r="C112" s="10">
        <f>IF(B112&lt;='Parameters &amp; Formulas'!$B$36,POWER(10,(B112-'Parameters &amp; Formulas'!$B$35)/20),POWER(10,(B112-'Parameters &amp; Formulas'!$B$35+20*LOG10('Parameters &amp; Formulas'!$B$34))/40))</f>
        <v/>
      </c>
      <c r="D112" s="11">
        <f>C112/1000</f>
        <v/>
      </c>
      <c r="E112" s="12">
        <f>IF(B112&lt;='Parameters &amp; Formulas'!$B$36,"Pre-breakpoint (20 log)","Post-breakpoint (40 log)")</f>
        <v/>
      </c>
    </row>
    <row r="113">
      <c r="A113" s="10" t="n">
        <v>12.97939698492462</v>
      </c>
      <c r="B113" s="11">
        <f>'Parameters &amp; Formulas'!$B$53-(A113+'Parameters &amp; Formulas'!$B$29+'Parameters &amp; Formulas'!$B$17+'Parameters &amp; Formulas'!$B$18)</f>
        <v/>
      </c>
      <c r="C113" s="10">
        <f>IF(B113&lt;='Parameters &amp; Formulas'!$B$36,POWER(10,(B113-'Parameters &amp; Formulas'!$B$35)/20),POWER(10,(B113-'Parameters &amp; Formulas'!$B$35+20*LOG10('Parameters &amp; Formulas'!$B$34))/40))</f>
        <v/>
      </c>
      <c r="D113" s="11">
        <f>C113/1000</f>
        <v/>
      </c>
      <c r="E113" s="12">
        <f>IF(B113&lt;='Parameters &amp; Formulas'!$B$36,"Pre-breakpoint (20 log)","Post-breakpoint (40 log)")</f>
        <v/>
      </c>
    </row>
    <row r="114">
      <c r="A114" s="10" t="n">
        <v>12.80804020100502</v>
      </c>
      <c r="B114" s="11">
        <f>'Parameters &amp; Formulas'!$B$53-(A114+'Parameters &amp; Formulas'!$B$29+'Parameters &amp; Formulas'!$B$17+'Parameters &amp; Formulas'!$B$18)</f>
        <v/>
      </c>
      <c r="C114" s="10">
        <f>IF(B114&lt;='Parameters &amp; Formulas'!$B$36,POWER(10,(B114-'Parameters &amp; Formulas'!$B$35)/20),POWER(10,(B114-'Parameters &amp; Formulas'!$B$35+20*LOG10('Parameters &amp; Formulas'!$B$34))/40))</f>
        <v/>
      </c>
      <c r="D114" s="11">
        <f>C114/1000</f>
        <v/>
      </c>
      <c r="E114" s="12">
        <f>IF(B114&lt;='Parameters &amp; Formulas'!$B$36,"Pre-breakpoint (20 log)","Post-breakpoint (40 log)")</f>
        <v/>
      </c>
    </row>
    <row r="115">
      <c r="A115" s="10" t="n">
        <v>12.63668341708543</v>
      </c>
      <c r="B115" s="11">
        <f>'Parameters &amp; Formulas'!$B$53-(A115+'Parameters &amp; Formulas'!$B$29+'Parameters &amp; Formulas'!$B$17+'Parameters &amp; Formulas'!$B$18)</f>
        <v/>
      </c>
      <c r="C115" s="10">
        <f>IF(B115&lt;='Parameters &amp; Formulas'!$B$36,POWER(10,(B115-'Parameters &amp; Formulas'!$B$35)/20),POWER(10,(B115-'Parameters &amp; Formulas'!$B$35+20*LOG10('Parameters &amp; Formulas'!$B$34))/40))</f>
        <v/>
      </c>
      <c r="D115" s="11">
        <f>C115/1000</f>
        <v/>
      </c>
      <c r="E115" s="12">
        <f>IF(B115&lt;='Parameters &amp; Formulas'!$B$36,"Pre-breakpoint (20 log)","Post-breakpoint (40 log)")</f>
        <v/>
      </c>
    </row>
    <row r="116">
      <c r="A116" s="10" t="n">
        <v>12.46532663316583</v>
      </c>
      <c r="B116" s="11">
        <f>'Parameters &amp; Formulas'!$B$53-(A116+'Parameters &amp; Formulas'!$B$29+'Parameters &amp; Formulas'!$B$17+'Parameters &amp; Formulas'!$B$18)</f>
        <v/>
      </c>
      <c r="C116" s="10">
        <f>IF(B116&lt;='Parameters &amp; Formulas'!$B$36,POWER(10,(B116-'Parameters &amp; Formulas'!$B$35)/20),POWER(10,(B116-'Parameters &amp; Formulas'!$B$35+20*LOG10('Parameters &amp; Formulas'!$B$34))/40))</f>
        <v/>
      </c>
      <c r="D116" s="11">
        <f>C116/1000</f>
        <v/>
      </c>
      <c r="E116" s="12">
        <f>IF(B116&lt;='Parameters &amp; Formulas'!$B$36,"Pre-breakpoint (20 log)","Post-breakpoint (40 log)")</f>
        <v/>
      </c>
    </row>
    <row r="117">
      <c r="A117" s="10" t="n">
        <v>12.29396984924623</v>
      </c>
      <c r="B117" s="11">
        <f>'Parameters &amp; Formulas'!$B$53-(A117+'Parameters &amp; Formulas'!$B$29+'Parameters &amp; Formulas'!$B$17+'Parameters &amp; Formulas'!$B$18)</f>
        <v/>
      </c>
      <c r="C117" s="10">
        <f>IF(B117&lt;='Parameters &amp; Formulas'!$B$36,POWER(10,(B117-'Parameters &amp; Formulas'!$B$35)/20),POWER(10,(B117-'Parameters &amp; Formulas'!$B$35+20*LOG10('Parameters &amp; Formulas'!$B$34))/40))</f>
        <v/>
      </c>
      <c r="D117" s="11">
        <f>C117/1000</f>
        <v/>
      </c>
      <c r="E117" s="12">
        <f>IF(B117&lt;='Parameters &amp; Formulas'!$B$36,"Pre-breakpoint (20 log)","Post-breakpoint (40 log)")</f>
        <v/>
      </c>
    </row>
    <row r="118">
      <c r="A118" s="10" t="n">
        <v>12.12261306532663</v>
      </c>
      <c r="B118" s="11">
        <f>'Parameters &amp; Formulas'!$B$53-(A118+'Parameters &amp; Formulas'!$B$29+'Parameters &amp; Formulas'!$B$17+'Parameters &amp; Formulas'!$B$18)</f>
        <v/>
      </c>
      <c r="C118" s="10">
        <f>IF(B118&lt;='Parameters &amp; Formulas'!$B$36,POWER(10,(B118-'Parameters &amp; Formulas'!$B$35)/20),POWER(10,(B118-'Parameters &amp; Formulas'!$B$35+20*LOG10('Parameters &amp; Formulas'!$B$34))/40))</f>
        <v/>
      </c>
      <c r="D118" s="11">
        <f>C118/1000</f>
        <v/>
      </c>
      <c r="E118" s="12">
        <f>IF(B118&lt;='Parameters &amp; Formulas'!$B$36,"Pre-breakpoint (20 log)","Post-breakpoint (40 log)")</f>
        <v/>
      </c>
    </row>
    <row r="119">
      <c r="A119" s="10" t="n">
        <v>11.95125628140703</v>
      </c>
      <c r="B119" s="11">
        <f>'Parameters &amp; Formulas'!$B$53-(A119+'Parameters &amp; Formulas'!$B$29+'Parameters &amp; Formulas'!$B$17+'Parameters &amp; Formulas'!$B$18)</f>
        <v/>
      </c>
      <c r="C119" s="10">
        <f>IF(B119&lt;='Parameters &amp; Formulas'!$B$36,POWER(10,(B119-'Parameters &amp; Formulas'!$B$35)/20),POWER(10,(B119-'Parameters &amp; Formulas'!$B$35+20*LOG10('Parameters &amp; Formulas'!$B$34))/40))</f>
        <v/>
      </c>
      <c r="D119" s="11">
        <f>C119/1000</f>
        <v/>
      </c>
      <c r="E119" s="12">
        <f>IF(B119&lt;='Parameters &amp; Formulas'!$B$36,"Pre-breakpoint (20 log)","Post-breakpoint (40 log)")</f>
        <v/>
      </c>
    </row>
    <row r="120">
      <c r="A120" s="10" t="n">
        <v>11.77989949748744</v>
      </c>
      <c r="B120" s="11">
        <f>'Parameters &amp; Formulas'!$B$53-(A120+'Parameters &amp; Formulas'!$B$29+'Parameters &amp; Formulas'!$B$17+'Parameters &amp; Formulas'!$B$18)</f>
        <v/>
      </c>
      <c r="C120" s="10">
        <f>IF(B120&lt;='Parameters &amp; Formulas'!$B$36,POWER(10,(B120-'Parameters &amp; Formulas'!$B$35)/20),POWER(10,(B120-'Parameters &amp; Formulas'!$B$35+20*LOG10('Parameters &amp; Formulas'!$B$34))/40))</f>
        <v/>
      </c>
      <c r="D120" s="11">
        <f>C120/1000</f>
        <v/>
      </c>
      <c r="E120" s="12">
        <f>IF(B120&lt;='Parameters &amp; Formulas'!$B$36,"Pre-breakpoint (20 log)","Post-breakpoint (40 log)")</f>
        <v/>
      </c>
    </row>
    <row r="121">
      <c r="A121" s="10" t="n">
        <v>11.60854271356784</v>
      </c>
      <c r="B121" s="11">
        <f>'Parameters &amp; Formulas'!$B$53-(A121+'Parameters &amp; Formulas'!$B$29+'Parameters &amp; Formulas'!$B$17+'Parameters &amp; Formulas'!$B$18)</f>
        <v/>
      </c>
      <c r="C121" s="10">
        <f>IF(B121&lt;='Parameters &amp; Formulas'!$B$36,POWER(10,(B121-'Parameters &amp; Formulas'!$B$35)/20),POWER(10,(B121-'Parameters &amp; Formulas'!$B$35+20*LOG10('Parameters &amp; Formulas'!$B$34))/40))</f>
        <v/>
      </c>
      <c r="D121" s="11">
        <f>C121/1000</f>
        <v/>
      </c>
      <c r="E121" s="12">
        <f>IF(B121&lt;='Parameters &amp; Formulas'!$B$36,"Pre-breakpoint (20 log)","Post-breakpoint (40 log)")</f>
        <v/>
      </c>
    </row>
    <row r="122">
      <c r="A122" s="10" t="n">
        <v>11.43718592964824</v>
      </c>
      <c r="B122" s="11">
        <f>'Parameters &amp; Formulas'!$B$53-(A122+'Parameters &amp; Formulas'!$B$29+'Parameters &amp; Formulas'!$B$17+'Parameters &amp; Formulas'!$B$18)</f>
        <v/>
      </c>
      <c r="C122" s="10">
        <f>IF(B122&lt;='Parameters &amp; Formulas'!$B$36,POWER(10,(B122-'Parameters &amp; Formulas'!$B$35)/20),POWER(10,(B122-'Parameters &amp; Formulas'!$B$35+20*LOG10('Parameters &amp; Formulas'!$B$34))/40))</f>
        <v/>
      </c>
      <c r="D122" s="11">
        <f>C122/1000</f>
        <v/>
      </c>
      <c r="E122" s="12">
        <f>IF(B122&lt;='Parameters &amp; Formulas'!$B$36,"Pre-breakpoint (20 log)","Post-breakpoint (40 log)")</f>
        <v/>
      </c>
    </row>
    <row r="123">
      <c r="A123" s="10" t="n">
        <v>11.26582914572864</v>
      </c>
      <c r="B123" s="11">
        <f>'Parameters &amp; Formulas'!$B$53-(A123+'Parameters &amp; Formulas'!$B$29+'Parameters &amp; Formulas'!$B$17+'Parameters &amp; Formulas'!$B$18)</f>
        <v/>
      </c>
      <c r="C123" s="10">
        <f>IF(B123&lt;='Parameters &amp; Formulas'!$B$36,POWER(10,(B123-'Parameters &amp; Formulas'!$B$35)/20),POWER(10,(B123-'Parameters &amp; Formulas'!$B$35+20*LOG10('Parameters &amp; Formulas'!$B$34))/40))</f>
        <v/>
      </c>
      <c r="D123" s="11">
        <f>C123/1000</f>
        <v/>
      </c>
      <c r="E123" s="12">
        <f>IF(B123&lt;='Parameters &amp; Formulas'!$B$36,"Pre-breakpoint (20 log)","Post-breakpoint (40 log)")</f>
        <v/>
      </c>
    </row>
    <row r="124">
      <c r="A124" s="10" t="n">
        <v>11.09447236180905</v>
      </c>
      <c r="B124" s="11">
        <f>'Parameters &amp; Formulas'!$B$53-(A124+'Parameters &amp; Formulas'!$B$29+'Parameters &amp; Formulas'!$B$17+'Parameters &amp; Formulas'!$B$18)</f>
        <v/>
      </c>
      <c r="C124" s="10">
        <f>IF(B124&lt;='Parameters &amp; Formulas'!$B$36,POWER(10,(B124-'Parameters &amp; Formulas'!$B$35)/20),POWER(10,(B124-'Parameters &amp; Formulas'!$B$35+20*LOG10('Parameters &amp; Formulas'!$B$34))/40))</f>
        <v/>
      </c>
      <c r="D124" s="11">
        <f>C124/1000</f>
        <v/>
      </c>
      <c r="E124" s="12">
        <f>IF(B124&lt;='Parameters &amp; Formulas'!$B$36,"Pre-breakpoint (20 log)","Post-breakpoint (40 log)")</f>
        <v/>
      </c>
    </row>
    <row r="125">
      <c r="A125" s="10" t="n">
        <v>10.92311557788945</v>
      </c>
      <c r="B125" s="11">
        <f>'Parameters &amp; Formulas'!$B$53-(A125+'Parameters &amp; Formulas'!$B$29+'Parameters &amp; Formulas'!$B$17+'Parameters &amp; Formulas'!$B$18)</f>
        <v/>
      </c>
      <c r="C125" s="10">
        <f>IF(B125&lt;='Parameters &amp; Formulas'!$B$36,POWER(10,(B125-'Parameters &amp; Formulas'!$B$35)/20),POWER(10,(B125-'Parameters &amp; Formulas'!$B$35+20*LOG10('Parameters &amp; Formulas'!$B$34))/40))</f>
        <v/>
      </c>
      <c r="D125" s="11">
        <f>C125/1000</f>
        <v/>
      </c>
      <c r="E125" s="12">
        <f>IF(B125&lt;='Parameters &amp; Formulas'!$B$36,"Pre-breakpoint (20 log)","Post-breakpoint (40 log)")</f>
        <v/>
      </c>
    </row>
    <row r="126">
      <c r="A126" s="10" t="n">
        <v>10.75175879396985</v>
      </c>
      <c r="B126" s="11">
        <f>'Parameters &amp; Formulas'!$B$53-(A126+'Parameters &amp; Formulas'!$B$29+'Parameters &amp; Formulas'!$B$17+'Parameters &amp; Formulas'!$B$18)</f>
        <v/>
      </c>
      <c r="C126" s="10">
        <f>IF(B126&lt;='Parameters &amp; Formulas'!$B$36,POWER(10,(B126-'Parameters &amp; Formulas'!$B$35)/20),POWER(10,(B126-'Parameters &amp; Formulas'!$B$35+20*LOG10('Parameters &amp; Formulas'!$B$34))/40))</f>
        <v/>
      </c>
      <c r="D126" s="11">
        <f>C126/1000</f>
        <v/>
      </c>
      <c r="E126" s="12">
        <f>IF(B126&lt;='Parameters &amp; Formulas'!$B$36,"Pre-breakpoint (20 log)","Post-breakpoint (40 log)")</f>
        <v/>
      </c>
    </row>
    <row r="127">
      <c r="A127" s="10" t="n">
        <v>10.58040201005025</v>
      </c>
      <c r="B127" s="11">
        <f>'Parameters &amp; Formulas'!$B$53-(A127+'Parameters &amp; Formulas'!$B$29+'Parameters &amp; Formulas'!$B$17+'Parameters &amp; Formulas'!$B$18)</f>
        <v/>
      </c>
      <c r="C127" s="10">
        <f>IF(B127&lt;='Parameters &amp; Formulas'!$B$36,POWER(10,(B127-'Parameters &amp; Formulas'!$B$35)/20),POWER(10,(B127-'Parameters &amp; Formulas'!$B$35+20*LOG10('Parameters &amp; Formulas'!$B$34))/40))</f>
        <v/>
      </c>
      <c r="D127" s="11">
        <f>C127/1000</f>
        <v/>
      </c>
      <c r="E127" s="12">
        <f>IF(B127&lt;='Parameters &amp; Formulas'!$B$36,"Pre-breakpoint (20 log)","Post-breakpoint (40 log)")</f>
        <v/>
      </c>
    </row>
    <row r="128">
      <c r="A128" s="10" t="n">
        <v>10.40904522613065</v>
      </c>
      <c r="B128" s="11">
        <f>'Parameters &amp; Formulas'!$B$53-(A128+'Parameters &amp; Formulas'!$B$29+'Parameters &amp; Formulas'!$B$17+'Parameters &amp; Formulas'!$B$18)</f>
        <v/>
      </c>
      <c r="C128" s="10">
        <f>IF(B128&lt;='Parameters &amp; Formulas'!$B$36,POWER(10,(B128-'Parameters &amp; Formulas'!$B$35)/20),POWER(10,(B128-'Parameters &amp; Formulas'!$B$35+20*LOG10('Parameters &amp; Formulas'!$B$34))/40))</f>
        <v/>
      </c>
      <c r="D128" s="11">
        <f>C128/1000</f>
        <v/>
      </c>
      <c r="E128" s="12">
        <f>IF(B128&lt;='Parameters &amp; Formulas'!$B$36,"Pre-breakpoint (20 log)","Post-breakpoint (40 log)")</f>
        <v/>
      </c>
    </row>
    <row r="129">
      <c r="A129" s="10" t="n">
        <v>10.23768844221106</v>
      </c>
      <c r="B129" s="11">
        <f>'Parameters &amp; Formulas'!$B$53-(A129+'Parameters &amp; Formulas'!$B$29+'Parameters &amp; Formulas'!$B$17+'Parameters &amp; Formulas'!$B$18)</f>
        <v/>
      </c>
      <c r="C129" s="10">
        <f>IF(B129&lt;='Parameters &amp; Formulas'!$B$36,POWER(10,(B129-'Parameters &amp; Formulas'!$B$35)/20),POWER(10,(B129-'Parameters &amp; Formulas'!$B$35+20*LOG10('Parameters &amp; Formulas'!$B$34))/40))</f>
        <v/>
      </c>
      <c r="D129" s="11">
        <f>C129/1000</f>
        <v/>
      </c>
      <c r="E129" s="12">
        <f>IF(B129&lt;='Parameters &amp; Formulas'!$B$36,"Pre-breakpoint (20 log)","Post-breakpoint (40 log)")</f>
        <v/>
      </c>
    </row>
    <row r="130">
      <c r="A130" s="10" t="n">
        <v>10.06633165829146</v>
      </c>
      <c r="B130" s="11">
        <f>'Parameters &amp; Formulas'!$B$53-(A130+'Parameters &amp; Formulas'!$B$29+'Parameters &amp; Formulas'!$B$17+'Parameters &amp; Formulas'!$B$18)</f>
        <v/>
      </c>
      <c r="C130" s="10">
        <f>IF(B130&lt;='Parameters &amp; Formulas'!$B$36,POWER(10,(B130-'Parameters &amp; Formulas'!$B$35)/20),POWER(10,(B130-'Parameters &amp; Formulas'!$B$35+20*LOG10('Parameters &amp; Formulas'!$B$34))/40))</f>
        <v/>
      </c>
      <c r="D130" s="11">
        <f>C130/1000</f>
        <v/>
      </c>
      <c r="E130" s="12">
        <f>IF(B130&lt;='Parameters &amp; Formulas'!$B$36,"Pre-breakpoint (20 log)","Post-breakpoint (40 log)")</f>
        <v/>
      </c>
    </row>
    <row r="131">
      <c r="A131" s="10" t="n">
        <v>9.894974874371858</v>
      </c>
      <c r="B131" s="11">
        <f>'Parameters &amp; Formulas'!$B$53-(A131+'Parameters &amp; Formulas'!$B$29+'Parameters &amp; Formulas'!$B$17+'Parameters &amp; Formulas'!$B$18)</f>
        <v/>
      </c>
      <c r="C131" s="10">
        <f>IF(B131&lt;='Parameters &amp; Formulas'!$B$36,POWER(10,(B131-'Parameters &amp; Formulas'!$B$35)/20),POWER(10,(B131-'Parameters &amp; Formulas'!$B$35+20*LOG10('Parameters &amp; Formulas'!$B$34))/40))</f>
        <v/>
      </c>
      <c r="D131" s="11">
        <f>C131/1000</f>
        <v/>
      </c>
      <c r="E131" s="12">
        <f>IF(B131&lt;='Parameters &amp; Formulas'!$B$36,"Pre-breakpoint (20 log)","Post-breakpoint (40 log)")</f>
        <v/>
      </c>
    </row>
    <row r="132">
      <c r="A132" s="10" t="n">
        <v>9.723618090452259</v>
      </c>
      <c r="B132" s="11">
        <f>'Parameters &amp; Formulas'!$B$53-(A132+'Parameters &amp; Formulas'!$B$29+'Parameters &amp; Formulas'!$B$17+'Parameters &amp; Formulas'!$B$18)</f>
        <v/>
      </c>
      <c r="C132" s="10">
        <f>IF(B132&lt;='Parameters &amp; Formulas'!$B$36,POWER(10,(B132-'Parameters &amp; Formulas'!$B$35)/20),POWER(10,(B132-'Parameters &amp; Formulas'!$B$35+20*LOG10('Parameters &amp; Formulas'!$B$34))/40))</f>
        <v/>
      </c>
      <c r="D132" s="11">
        <f>C132/1000</f>
        <v/>
      </c>
      <c r="E132" s="12">
        <f>IF(B132&lt;='Parameters &amp; Formulas'!$B$36,"Pre-breakpoint (20 log)","Post-breakpoint (40 log)")</f>
        <v/>
      </c>
    </row>
    <row r="133">
      <c r="A133" s="10" t="n">
        <v>9.552261306532664</v>
      </c>
      <c r="B133" s="11">
        <f>'Parameters &amp; Formulas'!$B$53-(A133+'Parameters &amp; Formulas'!$B$29+'Parameters &amp; Formulas'!$B$17+'Parameters &amp; Formulas'!$B$18)</f>
        <v/>
      </c>
      <c r="C133" s="10">
        <f>IF(B133&lt;='Parameters &amp; Formulas'!$B$36,POWER(10,(B133-'Parameters &amp; Formulas'!$B$35)/20),POWER(10,(B133-'Parameters &amp; Formulas'!$B$35+20*LOG10('Parameters &amp; Formulas'!$B$34))/40))</f>
        <v/>
      </c>
      <c r="D133" s="11">
        <f>C133/1000</f>
        <v/>
      </c>
      <c r="E133" s="12">
        <f>IF(B133&lt;='Parameters &amp; Formulas'!$B$36,"Pre-breakpoint (20 log)","Post-breakpoint (40 log)")</f>
        <v/>
      </c>
    </row>
    <row r="134">
      <c r="A134" s="10" t="n">
        <v>9.380904522613065</v>
      </c>
      <c r="B134" s="11">
        <f>'Parameters &amp; Formulas'!$B$53-(A134+'Parameters &amp; Formulas'!$B$29+'Parameters &amp; Formulas'!$B$17+'Parameters &amp; Formulas'!$B$18)</f>
        <v/>
      </c>
      <c r="C134" s="10">
        <f>IF(B134&lt;='Parameters &amp; Formulas'!$B$36,POWER(10,(B134-'Parameters &amp; Formulas'!$B$35)/20),POWER(10,(B134-'Parameters &amp; Formulas'!$B$35+20*LOG10('Parameters &amp; Formulas'!$B$34))/40))</f>
        <v/>
      </c>
      <c r="D134" s="11">
        <f>C134/1000</f>
        <v/>
      </c>
      <c r="E134" s="12">
        <f>IF(B134&lt;='Parameters &amp; Formulas'!$B$36,"Pre-breakpoint (20 log)","Post-breakpoint (40 log)")</f>
        <v/>
      </c>
    </row>
    <row r="135">
      <c r="A135" s="10" t="n">
        <v>9.209547738693466</v>
      </c>
      <c r="B135" s="11">
        <f>'Parameters &amp; Formulas'!$B$53-(A135+'Parameters &amp; Formulas'!$B$29+'Parameters &amp; Formulas'!$B$17+'Parameters &amp; Formulas'!$B$18)</f>
        <v/>
      </c>
      <c r="C135" s="10">
        <f>IF(B135&lt;='Parameters &amp; Formulas'!$B$36,POWER(10,(B135-'Parameters &amp; Formulas'!$B$35)/20),POWER(10,(B135-'Parameters &amp; Formulas'!$B$35+20*LOG10('Parameters &amp; Formulas'!$B$34))/40))</f>
        <v/>
      </c>
      <c r="D135" s="11">
        <f>C135/1000</f>
        <v/>
      </c>
      <c r="E135" s="12">
        <f>IF(B135&lt;='Parameters &amp; Formulas'!$B$36,"Pre-breakpoint (20 log)","Post-breakpoint (40 log)")</f>
        <v/>
      </c>
    </row>
    <row r="136">
      <c r="A136" s="10" t="n">
        <v>9.038190954773867</v>
      </c>
      <c r="B136" s="11">
        <f>'Parameters &amp; Formulas'!$B$53-(A136+'Parameters &amp; Formulas'!$B$29+'Parameters &amp; Formulas'!$B$17+'Parameters &amp; Formulas'!$B$18)</f>
        <v/>
      </c>
      <c r="C136" s="10">
        <f>IF(B136&lt;='Parameters &amp; Formulas'!$B$36,POWER(10,(B136-'Parameters &amp; Formulas'!$B$35)/20),POWER(10,(B136-'Parameters &amp; Formulas'!$B$35+20*LOG10('Parameters &amp; Formulas'!$B$34))/40))</f>
        <v/>
      </c>
      <c r="D136" s="11">
        <f>C136/1000</f>
        <v/>
      </c>
      <c r="E136" s="12">
        <f>IF(B136&lt;='Parameters &amp; Formulas'!$B$36,"Pre-breakpoint (20 log)","Post-breakpoint (40 log)")</f>
        <v/>
      </c>
    </row>
    <row r="137">
      <c r="A137" s="10" t="n">
        <v>8.866834170854272</v>
      </c>
      <c r="B137" s="11">
        <f>'Parameters &amp; Formulas'!$B$53-(A137+'Parameters &amp; Formulas'!$B$29+'Parameters &amp; Formulas'!$B$17+'Parameters &amp; Formulas'!$B$18)</f>
        <v/>
      </c>
      <c r="C137" s="10">
        <f>IF(B137&lt;='Parameters &amp; Formulas'!$B$36,POWER(10,(B137-'Parameters &amp; Formulas'!$B$35)/20),POWER(10,(B137-'Parameters &amp; Formulas'!$B$35+20*LOG10('Parameters &amp; Formulas'!$B$34))/40))</f>
        <v/>
      </c>
      <c r="D137" s="11">
        <f>C137/1000</f>
        <v/>
      </c>
      <c r="E137" s="12">
        <f>IF(B137&lt;='Parameters &amp; Formulas'!$B$36,"Pre-breakpoint (20 log)","Post-breakpoint (40 log)")</f>
        <v/>
      </c>
    </row>
    <row r="138">
      <c r="A138" s="10" t="n">
        <v>8.695477386934673</v>
      </c>
      <c r="B138" s="11">
        <f>'Parameters &amp; Formulas'!$B$53-(A138+'Parameters &amp; Formulas'!$B$29+'Parameters &amp; Formulas'!$B$17+'Parameters &amp; Formulas'!$B$18)</f>
        <v/>
      </c>
      <c r="C138" s="10">
        <f>IF(B138&lt;='Parameters &amp; Formulas'!$B$36,POWER(10,(B138-'Parameters &amp; Formulas'!$B$35)/20),POWER(10,(B138-'Parameters &amp; Formulas'!$B$35+20*LOG10('Parameters &amp; Formulas'!$B$34))/40))</f>
        <v/>
      </c>
      <c r="D138" s="11">
        <f>C138/1000</f>
        <v/>
      </c>
      <c r="E138" s="12">
        <f>IF(B138&lt;='Parameters &amp; Formulas'!$B$36,"Pre-breakpoint (20 log)","Post-breakpoint (40 log)")</f>
        <v/>
      </c>
    </row>
    <row r="139">
      <c r="A139" s="10" t="n">
        <v>8.524120603015074</v>
      </c>
      <c r="B139" s="11">
        <f>'Parameters &amp; Formulas'!$B$53-(A139+'Parameters &amp; Formulas'!$B$29+'Parameters &amp; Formulas'!$B$17+'Parameters &amp; Formulas'!$B$18)</f>
        <v/>
      </c>
      <c r="C139" s="10">
        <f>IF(B139&lt;='Parameters &amp; Formulas'!$B$36,POWER(10,(B139-'Parameters &amp; Formulas'!$B$35)/20),POWER(10,(B139-'Parameters &amp; Formulas'!$B$35+20*LOG10('Parameters &amp; Formulas'!$B$34))/40))</f>
        <v/>
      </c>
      <c r="D139" s="11">
        <f>C139/1000</f>
        <v/>
      </c>
      <c r="E139" s="12">
        <f>IF(B139&lt;='Parameters &amp; Formulas'!$B$36,"Pre-breakpoint (20 log)","Post-breakpoint (40 log)")</f>
        <v/>
      </c>
    </row>
    <row r="140">
      <c r="A140" s="10" t="n">
        <v>8.352763819095475</v>
      </c>
      <c r="B140" s="11">
        <f>'Parameters &amp; Formulas'!$B$53-(A140+'Parameters &amp; Formulas'!$B$29+'Parameters &amp; Formulas'!$B$17+'Parameters &amp; Formulas'!$B$18)</f>
        <v/>
      </c>
      <c r="C140" s="10">
        <f>IF(B140&lt;='Parameters &amp; Formulas'!$B$36,POWER(10,(B140-'Parameters &amp; Formulas'!$B$35)/20),POWER(10,(B140-'Parameters &amp; Formulas'!$B$35+20*LOG10('Parameters &amp; Formulas'!$B$34))/40))</f>
        <v/>
      </c>
      <c r="D140" s="11">
        <f>C140/1000</f>
        <v/>
      </c>
      <c r="E140" s="12">
        <f>IF(B140&lt;='Parameters &amp; Formulas'!$B$36,"Pre-breakpoint (20 log)","Post-breakpoint (40 log)")</f>
        <v/>
      </c>
    </row>
    <row r="141">
      <c r="A141" s="10" t="n">
        <v>8.18140703517588</v>
      </c>
      <c r="B141" s="11">
        <f>'Parameters &amp; Formulas'!$B$53-(A141+'Parameters &amp; Formulas'!$B$29+'Parameters &amp; Formulas'!$B$17+'Parameters &amp; Formulas'!$B$18)</f>
        <v/>
      </c>
      <c r="C141" s="10">
        <f>IF(B141&lt;='Parameters &amp; Formulas'!$B$36,POWER(10,(B141-'Parameters &amp; Formulas'!$B$35)/20),POWER(10,(B141-'Parameters &amp; Formulas'!$B$35+20*LOG10('Parameters &amp; Formulas'!$B$34))/40))</f>
        <v/>
      </c>
      <c r="D141" s="11">
        <f>C141/1000</f>
        <v/>
      </c>
      <c r="E141" s="12">
        <f>IF(B141&lt;='Parameters &amp; Formulas'!$B$36,"Pre-breakpoint (20 log)","Post-breakpoint (40 log)")</f>
        <v/>
      </c>
    </row>
    <row r="142">
      <c r="A142" s="10" t="n">
        <v>8.010050251256281</v>
      </c>
      <c r="B142" s="11">
        <f>'Parameters &amp; Formulas'!$B$53-(A142+'Parameters &amp; Formulas'!$B$29+'Parameters &amp; Formulas'!$B$17+'Parameters &amp; Formulas'!$B$18)</f>
        <v/>
      </c>
      <c r="C142" s="10">
        <f>IF(B142&lt;='Parameters &amp; Formulas'!$B$36,POWER(10,(B142-'Parameters &amp; Formulas'!$B$35)/20),POWER(10,(B142-'Parameters &amp; Formulas'!$B$35+20*LOG10('Parameters &amp; Formulas'!$B$34))/40))</f>
        <v/>
      </c>
      <c r="D142" s="11">
        <f>C142/1000</f>
        <v/>
      </c>
      <c r="E142" s="12">
        <f>IF(B142&lt;='Parameters &amp; Formulas'!$B$36,"Pre-breakpoint (20 log)","Post-breakpoint (40 log)")</f>
        <v/>
      </c>
    </row>
    <row r="143">
      <c r="A143" s="10" t="n">
        <v>7.838693467336682</v>
      </c>
      <c r="B143" s="11">
        <f>'Parameters &amp; Formulas'!$B$53-(A143+'Parameters &amp; Formulas'!$B$29+'Parameters &amp; Formulas'!$B$17+'Parameters &amp; Formulas'!$B$18)</f>
        <v/>
      </c>
      <c r="C143" s="10">
        <f>IF(B143&lt;='Parameters &amp; Formulas'!$B$36,POWER(10,(B143-'Parameters &amp; Formulas'!$B$35)/20),POWER(10,(B143-'Parameters &amp; Formulas'!$B$35+20*LOG10('Parameters &amp; Formulas'!$B$34))/40))</f>
        <v/>
      </c>
      <c r="D143" s="11">
        <f>C143/1000</f>
        <v/>
      </c>
      <c r="E143" s="12">
        <f>IF(B143&lt;='Parameters &amp; Formulas'!$B$36,"Pre-breakpoint (20 log)","Post-breakpoint (40 log)")</f>
        <v/>
      </c>
    </row>
    <row r="144">
      <c r="A144" s="10" t="n">
        <v>7.667336683417084</v>
      </c>
      <c r="B144" s="11">
        <f>'Parameters &amp; Formulas'!$B$53-(A144+'Parameters &amp; Formulas'!$B$29+'Parameters &amp; Formulas'!$B$17+'Parameters &amp; Formulas'!$B$18)</f>
        <v/>
      </c>
      <c r="C144" s="10">
        <f>IF(B144&lt;='Parameters &amp; Formulas'!$B$36,POWER(10,(B144-'Parameters &amp; Formulas'!$B$35)/20),POWER(10,(B144-'Parameters &amp; Formulas'!$B$35+20*LOG10('Parameters &amp; Formulas'!$B$34))/40))</f>
        <v/>
      </c>
      <c r="D144" s="11">
        <f>C144/1000</f>
        <v/>
      </c>
      <c r="E144" s="12">
        <f>IF(B144&lt;='Parameters &amp; Formulas'!$B$36,"Pre-breakpoint (20 log)","Post-breakpoint (40 log)")</f>
        <v/>
      </c>
    </row>
    <row r="145">
      <c r="A145" s="10" t="n">
        <v>7.495979899497488</v>
      </c>
      <c r="B145" s="11">
        <f>'Parameters &amp; Formulas'!$B$53-(A145+'Parameters &amp; Formulas'!$B$29+'Parameters &amp; Formulas'!$B$17+'Parameters &amp; Formulas'!$B$18)</f>
        <v/>
      </c>
      <c r="C145" s="10">
        <f>IF(B145&lt;='Parameters &amp; Formulas'!$B$36,POWER(10,(B145-'Parameters &amp; Formulas'!$B$35)/20),POWER(10,(B145-'Parameters &amp; Formulas'!$B$35+20*LOG10('Parameters &amp; Formulas'!$B$34))/40))</f>
        <v/>
      </c>
      <c r="D145" s="11">
        <f>C145/1000</f>
        <v/>
      </c>
      <c r="E145" s="12">
        <f>IF(B145&lt;='Parameters &amp; Formulas'!$B$36,"Pre-breakpoint (20 log)","Post-breakpoint (40 log)")</f>
        <v/>
      </c>
    </row>
    <row r="146">
      <c r="A146" s="10" t="n">
        <v>7.324623115577889</v>
      </c>
      <c r="B146" s="11">
        <f>'Parameters &amp; Formulas'!$B$53-(A146+'Parameters &amp; Formulas'!$B$29+'Parameters &amp; Formulas'!$B$17+'Parameters &amp; Formulas'!$B$18)</f>
        <v/>
      </c>
      <c r="C146" s="10">
        <f>IF(B146&lt;='Parameters &amp; Formulas'!$B$36,POWER(10,(B146-'Parameters &amp; Formulas'!$B$35)/20),POWER(10,(B146-'Parameters &amp; Formulas'!$B$35+20*LOG10('Parameters &amp; Formulas'!$B$34))/40))</f>
        <v/>
      </c>
      <c r="D146" s="11">
        <f>C146/1000</f>
        <v/>
      </c>
      <c r="E146" s="12">
        <f>IF(B146&lt;='Parameters &amp; Formulas'!$B$36,"Pre-breakpoint (20 log)","Post-breakpoint (40 log)")</f>
        <v/>
      </c>
    </row>
    <row r="147">
      <c r="A147" s="10" t="n">
        <v>7.153266331658291</v>
      </c>
      <c r="B147" s="11">
        <f>'Parameters &amp; Formulas'!$B$53-(A147+'Parameters &amp; Formulas'!$B$29+'Parameters &amp; Formulas'!$B$17+'Parameters &amp; Formulas'!$B$18)</f>
        <v/>
      </c>
      <c r="C147" s="10">
        <f>IF(B147&lt;='Parameters &amp; Formulas'!$B$36,POWER(10,(B147-'Parameters &amp; Formulas'!$B$35)/20),POWER(10,(B147-'Parameters &amp; Formulas'!$B$35+20*LOG10('Parameters &amp; Formulas'!$B$34))/40))</f>
        <v/>
      </c>
      <c r="D147" s="11">
        <f>C147/1000</f>
        <v/>
      </c>
      <c r="E147" s="12">
        <f>IF(B147&lt;='Parameters &amp; Formulas'!$B$36,"Pre-breakpoint (20 log)","Post-breakpoint (40 log)")</f>
        <v/>
      </c>
    </row>
    <row r="148">
      <c r="A148" s="10" t="n">
        <v>6.981909547738692</v>
      </c>
      <c r="B148" s="11">
        <f>'Parameters &amp; Formulas'!$B$53-(A148+'Parameters &amp; Formulas'!$B$29+'Parameters &amp; Formulas'!$B$17+'Parameters &amp; Formulas'!$B$18)</f>
        <v/>
      </c>
      <c r="C148" s="10">
        <f>IF(B148&lt;='Parameters &amp; Formulas'!$B$36,POWER(10,(B148-'Parameters &amp; Formulas'!$B$35)/20),POWER(10,(B148-'Parameters &amp; Formulas'!$B$35+20*LOG10('Parameters &amp; Formulas'!$B$34))/40))</f>
        <v/>
      </c>
      <c r="D148" s="11">
        <f>C148/1000</f>
        <v/>
      </c>
      <c r="E148" s="12">
        <f>IF(B148&lt;='Parameters &amp; Formulas'!$B$36,"Pre-breakpoint (20 log)","Post-breakpoint (40 log)")</f>
        <v/>
      </c>
    </row>
    <row r="149">
      <c r="A149" s="10" t="n">
        <v>6.810552763819096</v>
      </c>
      <c r="B149" s="11">
        <f>'Parameters &amp; Formulas'!$B$53-(A149+'Parameters &amp; Formulas'!$B$29+'Parameters &amp; Formulas'!$B$17+'Parameters &amp; Formulas'!$B$18)</f>
        <v/>
      </c>
      <c r="C149" s="10">
        <f>IF(B149&lt;='Parameters &amp; Formulas'!$B$36,POWER(10,(B149-'Parameters &amp; Formulas'!$B$35)/20),POWER(10,(B149-'Parameters &amp; Formulas'!$B$35+20*LOG10('Parameters &amp; Formulas'!$B$34))/40))</f>
        <v/>
      </c>
      <c r="D149" s="11">
        <f>C149/1000</f>
        <v/>
      </c>
      <c r="E149" s="12">
        <f>IF(B149&lt;='Parameters &amp; Formulas'!$B$36,"Pre-breakpoint (20 log)","Post-breakpoint (40 log)")</f>
        <v/>
      </c>
    </row>
    <row r="150">
      <c r="A150" s="10" t="n">
        <v>6.639195979899498</v>
      </c>
      <c r="B150" s="11">
        <f>'Parameters &amp; Formulas'!$B$53-(A150+'Parameters &amp; Formulas'!$B$29+'Parameters &amp; Formulas'!$B$17+'Parameters &amp; Formulas'!$B$18)</f>
        <v/>
      </c>
      <c r="C150" s="10">
        <f>IF(B150&lt;='Parameters &amp; Formulas'!$B$36,POWER(10,(B150-'Parameters &amp; Formulas'!$B$35)/20),POWER(10,(B150-'Parameters &amp; Formulas'!$B$35+20*LOG10('Parameters &amp; Formulas'!$B$34))/40))</f>
        <v/>
      </c>
      <c r="D150" s="11">
        <f>C150/1000</f>
        <v/>
      </c>
      <c r="E150" s="12">
        <f>IF(B150&lt;='Parameters &amp; Formulas'!$B$36,"Pre-breakpoint (20 log)","Post-breakpoint (40 log)")</f>
        <v/>
      </c>
    </row>
    <row r="151">
      <c r="A151" s="10" t="n">
        <v>6.467839195979899</v>
      </c>
      <c r="B151" s="11">
        <f>'Parameters &amp; Formulas'!$B$53-(A151+'Parameters &amp; Formulas'!$B$29+'Parameters &amp; Formulas'!$B$17+'Parameters &amp; Formulas'!$B$18)</f>
        <v/>
      </c>
      <c r="C151" s="10">
        <f>IF(B151&lt;='Parameters &amp; Formulas'!$B$36,POWER(10,(B151-'Parameters &amp; Formulas'!$B$35)/20),POWER(10,(B151-'Parameters &amp; Formulas'!$B$35+20*LOG10('Parameters &amp; Formulas'!$B$34))/40))</f>
        <v/>
      </c>
      <c r="D151" s="11">
        <f>C151/1000</f>
        <v/>
      </c>
      <c r="E151" s="12">
        <f>IF(B151&lt;='Parameters &amp; Formulas'!$B$36,"Pre-breakpoint (20 log)","Post-breakpoint (40 log)")</f>
        <v/>
      </c>
    </row>
    <row r="152">
      <c r="A152" s="10" t="n">
        <v>6.2964824120603</v>
      </c>
      <c r="B152" s="11">
        <f>'Parameters &amp; Formulas'!$B$53-(A152+'Parameters &amp; Formulas'!$B$29+'Parameters &amp; Formulas'!$B$17+'Parameters &amp; Formulas'!$B$18)</f>
        <v/>
      </c>
      <c r="C152" s="10">
        <f>IF(B152&lt;='Parameters &amp; Formulas'!$B$36,POWER(10,(B152-'Parameters &amp; Formulas'!$B$35)/20),POWER(10,(B152-'Parameters &amp; Formulas'!$B$35+20*LOG10('Parameters &amp; Formulas'!$B$34))/40))</f>
        <v/>
      </c>
      <c r="D152" s="11">
        <f>C152/1000</f>
        <v/>
      </c>
      <c r="E152" s="12">
        <f>IF(B152&lt;='Parameters &amp; Formulas'!$B$36,"Pre-breakpoint (20 log)","Post-breakpoint (40 log)")</f>
        <v/>
      </c>
    </row>
    <row r="153">
      <c r="A153" s="10" t="n">
        <v>6.125125628140704</v>
      </c>
      <c r="B153" s="11">
        <f>'Parameters &amp; Formulas'!$B$53-(A153+'Parameters &amp; Formulas'!$B$29+'Parameters &amp; Formulas'!$B$17+'Parameters &amp; Formulas'!$B$18)</f>
        <v/>
      </c>
      <c r="C153" s="10">
        <f>IF(B153&lt;='Parameters &amp; Formulas'!$B$36,POWER(10,(B153-'Parameters &amp; Formulas'!$B$35)/20),POWER(10,(B153-'Parameters &amp; Formulas'!$B$35+20*LOG10('Parameters &amp; Formulas'!$B$34))/40))</f>
        <v/>
      </c>
      <c r="D153" s="11">
        <f>C153/1000</f>
        <v/>
      </c>
      <c r="E153" s="12">
        <f>IF(B153&lt;='Parameters &amp; Formulas'!$B$36,"Pre-breakpoint (20 log)","Post-breakpoint (40 log)")</f>
        <v/>
      </c>
    </row>
    <row r="154">
      <c r="A154" s="10" t="n">
        <v>5.953768844221106</v>
      </c>
      <c r="B154" s="11">
        <f>'Parameters &amp; Formulas'!$B$53-(A154+'Parameters &amp; Formulas'!$B$29+'Parameters &amp; Formulas'!$B$17+'Parameters &amp; Formulas'!$B$18)</f>
        <v/>
      </c>
      <c r="C154" s="10">
        <f>IF(B154&lt;='Parameters &amp; Formulas'!$B$36,POWER(10,(B154-'Parameters &amp; Formulas'!$B$35)/20),POWER(10,(B154-'Parameters &amp; Formulas'!$B$35+20*LOG10('Parameters &amp; Formulas'!$B$34))/40))</f>
        <v/>
      </c>
      <c r="D154" s="11">
        <f>C154/1000</f>
        <v/>
      </c>
      <c r="E154" s="12">
        <f>IF(B154&lt;='Parameters &amp; Formulas'!$B$36,"Pre-breakpoint (20 log)","Post-breakpoint (40 log)")</f>
        <v/>
      </c>
    </row>
    <row r="155">
      <c r="A155" s="10" t="n">
        <v>5.782412060301507</v>
      </c>
      <c r="B155" s="11">
        <f>'Parameters &amp; Formulas'!$B$53-(A155+'Parameters &amp; Formulas'!$B$29+'Parameters &amp; Formulas'!$B$17+'Parameters &amp; Formulas'!$B$18)</f>
        <v/>
      </c>
      <c r="C155" s="10">
        <f>IF(B155&lt;='Parameters &amp; Formulas'!$B$36,POWER(10,(B155-'Parameters &amp; Formulas'!$B$35)/20),POWER(10,(B155-'Parameters &amp; Formulas'!$B$35+20*LOG10('Parameters &amp; Formulas'!$B$34))/40))</f>
        <v/>
      </c>
      <c r="D155" s="11">
        <f>C155/1000</f>
        <v/>
      </c>
      <c r="E155" s="12">
        <f>IF(B155&lt;='Parameters &amp; Formulas'!$B$36,"Pre-breakpoint (20 log)","Post-breakpoint (40 log)")</f>
        <v/>
      </c>
    </row>
    <row r="156">
      <c r="A156" s="10" t="n">
        <v>5.611055276381908</v>
      </c>
      <c r="B156" s="11">
        <f>'Parameters &amp; Formulas'!$B$53-(A156+'Parameters &amp; Formulas'!$B$29+'Parameters &amp; Formulas'!$B$17+'Parameters &amp; Formulas'!$B$18)</f>
        <v/>
      </c>
      <c r="C156" s="10">
        <f>IF(B156&lt;='Parameters &amp; Formulas'!$B$36,POWER(10,(B156-'Parameters &amp; Formulas'!$B$35)/20),POWER(10,(B156-'Parameters &amp; Formulas'!$B$35+20*LOG10('Parameters &amp; Formulas'!$B$34))/40))</f>
        <v/>
      </c>
      <c r="D156" s="11">
        <f>C156/1000</f>
        <v/>
      </c>
      <c r="E156" s="12">
        <f>IF(B156&lt;='Parameters &amp; Formulas'!$B$36,"Pre-breakpoint (20 log)","Post-breakpoint (40 log)")</f>
        <v/>
      </c>
    </row>
    <row r="157">
      <c r="A157" s="10" t="n">
        <v>5.439698492462313</v>
      </c>
      <c r="B157" s="11">
        <f>'Parameters &amp; Formulas'!$B$53-(A157+'Parameters &amp; Formulas'!$B$29+'Parameters &amp; Formulas'!$B$17+'Parameters &amp; Formulas'!$B$18)</f>
        <v/>
      </c>
      <c r="C157" s="10">
        <f>IF(B157&lt;='Parameters &amp; Formulas'!$B$36,POWER(10,(B157-'Parameters &amp; Formulas'!$B$35)/20),POWER(10,(B157-'Parameters &amp; Formulas'!$B$35+20*LOG10('Parameters &amp; Formulas'!$B$34))/40))</f>
        <v/>
      </c>
      <c r="D157" s="11">
        <f>C157/1000</f>
        <v/>
      </c>
      <c r="E157" s="12">
        <f>IF(B157&lt;='Parameters &amp; Formulas'!$B$36,"Pre-breakpoint (20 log)","Post-breakpoint (40 log)")</f>
        <v/>
      </c>
    </row>
    <row r="158">
      <c r="A158" s="10" t="n">
        <v>5.268341708542714</v>
      </c>
      <c r="B158" s="11">
        <f>'Parameters &amp; Formulas'!$B$53-(A158+'Parameters &amp; Formulas'!$B$29+'Parameters &amp; Formulas'!$B$17+'Parameters &amp; Formulas'!$B$18)</f>
        <v/>
      </c>
      <c r="C158" s="10">
        <f>IF(B158&lt;='Parameters &amp; Formulas'!$B$36,POWER(10,(B158-'Parameters &amp; Formulas'!$B$35)/20),POWER(10,(B158-'Parameters &amp; Formulas'!$B$35+20*LOG10('Parameters &amp; Formulas'!$B$34))/40))</f>
        <v/>
      </c>
      <c r="D158" s="11">
        <f>C158/1000</f>
        <v/>
      </c>
      <c r="E158" s="12">
        <f>IF(B158&lt;='Parameters &amp; Formulas'!$B$36,"Pre-breakpoint (20 log)","Post-breakpoint (40 log)")</f>
        <v/>
      </c>
    </row>
    <row r="159">
      <c r="A159" s="10" t="n">
        <v>5.096984924623115</v>
      </c>
      <c r="B159" s="11">
        <f>'Parameters &amp; Formulas'!$B$53-(A159+'Parameters &amp; Formulas'!$B$29+'Parameters &amp; Formulas'!$B$17+'Parameters &amp; Formulas'!$B$18)</f>
        <v/>
      </c>
      <c r="C159" s="10">
        <f>IF(B159&lt;='Parameters &amp; Formulas'!$B$36,POWER(10,(B159-'Parameters &amp; Formulas'!$B$35)/20),POWER(10,(B159-'Parameters &amp; Formulas'!$B$35+20*LOG10('Parameters &amp; Formulas'!$B$34))/40))</f>
        <v/>
      </c>
      <c r="D159" s="11">
        <f>C159/1000</f>
        <v/>
      </c>
      <c r="E159" s="12">
        <f>IF(B159&lt;='Parameters &amp; Formulas'!$B$36,"Pre-breakpoint (20 log)","Post-breakpoint (40 log)")</f>
        <v/>
      </c>
    </row>
    <row r="160">
      <c r="A160" s="10" t="n">
        <v>4.925628140703516</v>
      </c>
      <c r="B160" s="11">
        <f>'Parameters &amp; Formulas'!$B$53-(A160+'Parameters &amp; Formulas'!$B$29+'Parameters &amp; Formulas'!$B$17+'Parameters &amp; Formulas'!$B$18)</f>
        <v/>
      </c>
      <c r="C160" s="10">
        <f>IF(B160&lt;='Parameters &amp; Formulas'!$B$36,POWER(10,(B160-'Parameters &amp; Formulas'!$B$35)/20),POWER(10,(B160-'Parameters &amp; Formulas'!$B$35+20*LOG10('Parameters &amp; Formulas'!$B$34))/40))</f>
        <v/>
      </c>
      <c r="D160" s="11">
        <f>C160/1000</f>
        <v/>
      </c>
      <c r="E160" s="12">
        <f>IF(B160&lt;='Parameters &amp; Formulas'!$B$36,"Pre-breakpoint (20 log)","Post-breakpoint (40 log)")</f>
        <v/>
      </c>
    </row>
    <row r="161">
      <c r="A161" s="10" t="n">
        <v>4.754271356783921</v>
      </c>
      <c r="B161" s="11">
        <f>'Parameters &amp; Formulas'!$B$53-(A161+'Parameters &amp; Formulas'!$B$29+'Parameters &amp; Formulas'!$B$17+'Parameters &amp; Formulas'!$B$18)</f>
        <v/>
      </c>
      <c r="C161" s="10">
        <f>IF(B161&lt;='Parameters &amp; Formulas'!$B$36,POWER(10,(B161-'Parameters &amp; Formulas'!$B$35)/20),POWER(10,(B161-'Parameters &amp; Formulas'!$B$35+20*LOG10('Parameters &amp; Formulas'!$B$34))/40))</f>
        <v/>
      </c>
      <c r="D161" s="11">
        <f>C161/1000</f>
        <v/>
      </c>
      <c r="E161" s="12">
        <f>IF(B161&lt;='Parameters &amp; Formulas'!$B$36,"Pre-breakpoint (20 log)","Post-breakpoint (40 log)")</f>
        <v/>
      </c>
    </row>
    <row r="162">
      <c r="A162" s="10" t="n">
        <v>4.582914572864322</v>
      </c>
      <c r="B162" s="11">
        <f>'Parameters &amp; Formulas'!$B$53-(A162+'Parameters &amp; Formulas'!$B$29+'Parameters &amp; Formulas'!$B$17+'Parameters &amp; Formulas'!$B$18)</f>
        <v/>
      </c>
      <c r="C162" s="10">
        <f>IF(B162&lt;='Parameters &amp; Formulas'!$B$36,POWER(10,(B162-'Parameters &amp; Formulas'!$B$35)/20),POWER(10,(B162-'Parameters &amp; Formulas'!$B$35+20*LOG10('Parameters &amp; Formulas'!$B$34))/40))</f>
        <v/>
      </c>
      <c r="D162" s="11">
        <f>C162/1000</f>
        <v/>
      </c>
      <c r="E162" s="12">
        <f>IF(B162&lt;='Parameters &amp; Formulas'!$B$36,"Pre-breakpoint (20 log)","Post-breakpoint (40 log)")</f>
        <v/>
      </c>
    </row>
    <row r="163">
      <c r="A163" s="10" t="n">
        <v>4.411557788944723</v>
      </c>
      <c r="B163" s="11">
        <f>'Parameters &amp; Formulas'!$B$53-(A163+'Parameters &amp; Formulas'!$B$29+'Parameters &amp; Formulas'!$B$17+'Parameters &amp; Formulas'!$B$18)</f>
        <v/>
      </c>
      <c r="C163" s="10">
        <f>IF(B163&lt;='Parameters &amp; Formulas'!$B$36,POWER(10,(B163-'Parameters &amp; Formulas'!$B$35)/20),POWER(10,(B163-'Parameters &amp; Formulas'!$B$35+20*LOG10('Parameters &amp; Formulas'!$B$34))/40))</f>
        <v/>
      </c>
      <c r="D163" s="11">
        <f>C163/1000</f>
        <v/>
      </c>
      <c r="E163" s="12">
        <f>IF(B163&lt;='Parameters &amp; Formulas'!$B$36,"Pre-breakpoint (20 log)","Post-breakpoint (40 log)")</f>
        <v/>
      </c>
    </row>
    <row r="164">
      <c r="A164" s="10" t="n">
        <v>4.240201005025124</v>
      </c>
      <c r="B164" s="11">
        <f>'Parameters &amp; Formulas'!$B$53-(A164+'Parameters &amp; Formulas'!$B$29+'Parameters &amp; Formulas'!$B$17+'Parameters &amp; Formulas'!$B$18)</f>
        <v/>
      </c>
      <c r="C164" s="10">
        <f>IF(B164&lt;='Parameters &amp; Formulas'!$B$36,POWER(10,(B164-'Parameters &amp; Formulas'!$B$35)/20),POWER(10,(B164-'Parameters &amp; Formulas'!$B$35+20*LOG10('Parameters &amp; Formulas'!$B$34))/40))</f>
        <v/>
      </c>
      <c r="D164" s="11">
        <f>C164/1000</f>
        <v/>
      </c>
      <c r="E164" s="12">
        <f>IF(B164&lt;='Parameters &amp; Formulas'!$B$36,"Pre-breakpoint (20 log)","Post-breakpoint (40 log)")</f>
        <v/>
      </c>
    </row>
    <row r="165">
      <c r="A165" s="10" t="n">
        <v>4.068844221105525</v>
      </c>
      <c r="B165" s="11">
        <f>'Parameters &amp; Formulas'!$B$53-(A165+'Parameters &amp; Formulas'!$B$29+'Parameters &amp; Formulas'!$B$17+'Parameters &amp; Formulas'!$B$18)</f>
        <v/>
      </c>
      <c r="C165" s="10">
        <f>IF(B165&lt;='Parameters &amp; Formulas'!$B$36,POWER(10,(B165-'Parameters &amp; Formulas'!$B$35)/20),POWER(10,(B165-'Parameters &amp; Formulas'!$B$35+20*LOG10('Parameters &amp; Formulas'!$B$34))/40))</f>
        <v/>
      </c>
      <c r="D165" s="11">
        <f>C165/1000</f>
        <v/>
      </c>
      <c r="E165" s="12">
        <f>IF(B165&lt;='Parameters &amp; Formulas'!$B$36,"Pre-breakpoint (20 log)","Post-breakpoint (40 log)")</f>
        <v/>
      </c>
    </row>
    <row r="166">
      <c r="A166" s="10" t="n">
        <v>3.89748743718593</v>
      </c>
      <c r="B166" s="11">
        <f>'Parameters &amp; Formulas'!$B$53-(A166+'Parameters &amp; Formulas'!$B$29+'Parameters &amp; Formulas'!$B$17+'Parameters &amp; Formulas'!$B$18)</f>
        <v/>
      </c>
      <c r="C166" s="10">
        <f>IF(B166&lt;='Parameters &amp; Formulas'!$B$36,POWER(10,(B166-'Parameters &amp; Formulas'!$B$35)/20),POWER(10,(B166-'Parameters &amp; Formulas'!$B$35+20*LOG10('Parameters &amp; Formulas'!$B$34))/40))</f>
        <v/>
      </c>
      <c r="D166" s="11">
        <f>C166/1000</f>
        <v/>
      </c>
      <c r="E166" s="12">
        <f>IF(B166&lt;='Parameters &amp; Formulas'!$B$36,"Pre-breakpoint (20 log)","Post-breakpoint (40 log)")</f>
        <v/>
      </c>
    </row>
    <row r="167">
      <c r="A167" s="10" t="n">
        <v>3.726130653266331</v>
      </c>
      <c r="B167" s="11">
        <f>'Parameters &amp; Formulas'!$B$53-(A167+'Parameters &amp; Formulas'!$B$29+'Parameters &amp; Formulas'!$B$17+'Parameters &amp; Formulas'!$B$18)</f>
        <v/>
      </c>
      <c r="C167" s="10">
        <f>IF(B167&lt;='Parameters &amp; Formulas'!$B$36,POWER(10,(B167-'Parameters &amp; Formulas'!$B$35)/20),POWER(10,(B167-'Parameters &amp; Formulas'!$B$35+20*LOG10('Parameters &amp; Formulas'!$B$34))/40))</f>
        <v/>
      </c>
      <c r="D167" s="11">
        <f>C167/1000</f>
        <v/>
      </c>
      <c r="E167" s="12">
        <f>IF(B167&lt;='Parameters &amp; Formulas'!$B$36,"Pre-breakpoint (20 log)","Post-breakpoint (40 log)")</f>
        <v/>
      </c>
    </row>
    <row r="168">
      <c r="A168" s="10" t="n">
        <v>3.554773869346732</v>
      </c>
      <c r="B168" s="11">
        <f>'Parameters &amp; Formulas'!$B$53-(A168+'Parameters &amp; Formulas'!$B$29+'Parameters &amp; Formulas'!$B$17+'Parameters &amp; Formulas'!$B$18)</f>
        <v/>
      </c>
      <c r="C168" s="10">
        <f>IF(B168&lt;='Parameters &amp; Formulas'!$B$36,POWER(10,(B168-'Parameters &amp; Formulas'!$B$35)/20),POWER(10,(B168-'Parameters &amp; Formulas'!$B$35+20*LOG10('Parameters &amp; Formulas'!$B$34))/40))</f>
        <v/>
      </c>
      <c r="D168" s="11">
        <f>C168/1000</f>
        <v/>
      </c>
      <c r="E168" s="12">
        <f>IF(B168&lt;='Parameters &amp; Formulas'!$B$36,"Pre-breakpoint (20 log)","Post-breakpoint (40 log)")</f>
        <v/>
      </c>
    </row>
    <row r="169">
      <c r="A169" s="10" t="n">
        <v>3.383417085427133</v>
      </c>
      <c r="B169" s="11">
        <f>'Parameters &amp; Formulas'!$B$53-(A169+'Parameters &amp; Formulas'!$B$29+'Parameters &amp; Formulas'!$B$17+'Parameters &amp; Formulas'!$B$18)</f>
        <v/>
      </c>
      <c r="C169" s="10">
        <f>IF(B169&lt;='Parameters &amp; Formulas'!$B$36,POWER(10,(B169-'Parameters &amp; Formulas'!$B$35)/20),POWER(10,(B169-'Parameters &amp; Formulas'!$B$35+20*LOG10('Parameters &amp; Formulas'!$B$34))/40))</f>
        <v/>
      </c>
      <c r="D169" s="11">
        <f>C169/1000</f>
        <v/>
      </c>
      <c r="E169" s="12">
        <f>IF(B169&lt;='Parameters &amp; Formulas'!$B$36,"Pre-breakpoint (20 log)","Post-breakpoint (40 log)")</f>
        <v/>
      </c>
    </row>
    <row r="170">
      <c r="A170" s="10" t="n">
        <v>3.212060301507538</v>
      </c>
      <c r="B170" s="11">
        <f>'Parameters &amp; Formulas'!$B$53-(A170+'Parameters &amp; Formulas'!$B$29+'Parameters &amp; Formulas'!$B$17+'Parameters &amp; Formulas'!$B$18)</f>
        <v/>
      </c>
      <c r="C170" s="10">
        <f>IF(B170&lt;='Parameters &amp; Formulas'!$B$36,POWER(10,(B170-'Parameters &amp; Formulas'!$B$35)/20),POWER(10,(B170-'Parameters &amp; Formulas'!$B$35+20*LOG10('Parameters &amp; Formulas'!$B$34))/40))</f>
        <v/>
      </c>
      <c r="D170" s="11">
        <f>C170/1000</f>
        <v/>
      </c>
      <c r="E170" s="12">
        <f>IF(B170&lt;='Parameters &amp; Formulas'!$B$36,"Pre-breakpoint (20 log)","Post-breakpoint (40 log)")</f>
        <v/>
      </c>
    </row>
    <row r="171">
      <c r="A171" s="10" t="n">
        <v>3.040703517587939</v>
      </c>
      <c r="B171" s="11">
        <f>'Parameters &amp; Formulas'!$B$53-(A171+'Parameters &amp; Formulas'!$B$29+'Parameters &amp; Formulas'!$B$17+'Parameters &amp; Formulas'!$B$18)</f>
        <v/>
      </c>
      <c r="C171" s="10">
        <f>IF(B171&lt;='Parameters &amp; Formulas'!$B$36,POWER(10,(B171-'Parameters &amp; Formulas'!$B$35)/20),POWER(10,(B171-'Parameters &amp; Formulas'!$B$35+20*LOG10('Parameters &amp; Formulas'!$B$34))/40))</f>
        <v/>
      </c>
      <c r="D171" s="11">
        <f>C171/1000</f>
        <v/>
      </c>
      <c r="E171" s="12">
        <f>IF(B171&lt;='Parameters &amp; Formulas'!$B$36,"Pre-breakpoint (20 log)","Post-breakpoint (40 log)")</f>
        <v/>
      </c>
    </row>
    <row r="172">
      <c r="A172" s="10" t="n">
        <v>2.86934673366834</v>
      </c>
      <c r="B172" s="11">
        <f>'Parameters &amp; Formulas'!$B$53-(A172+'Parameters &amp; Formulas'!$B$29+'Parameters &amp; Formulas'!$B$17+'Parameters &amp; Formulas'!$B$18)</f>
        <v/>
      </c>
      <c r="C172" s="10">
        <f>IF(B172&lt;='Parameters &amp; Formulas'!$B$36,POWER(10,(B172-'Parameters &amp; Formulas'!$B$35)/20),POWER(10,(B172-'Parameters &amp; Formulas'!$B$35+20*LOG10('Parameters &amp; Formulas'!$B$34))/40))</f>
        <v/>
      </c>
      <c r="D172" s="11">
        <f>C172/1000</f>
        <v/>
      </c>
      <c r="E172" s="12">
        <f>IF(B172&lt;='Parameters &amp; Formulas'!$B$36,"Pre-breakpoint (20 log)","Post-breakpoint (40 log)")</f>
        <v/>
      </c>
    </row>
    <row r="173">
      <c r="A173" s="10" t="n">
        <v>2.697989949748742</v>
      </c>
      <c r="B173" s="11">
        <f>'Parameters &amp; Formulas'!$B$53-(A173+'Parameters &amp; Formulas'!$B$29+'Parameters &amp; Formulas'!$B$17+'Parameters &amp; Formulas'!$B$18)</f>
        <v/>
      </c>
      <c r="C173" s="10">
        <f>IF(B173&lt;='Parameters &amp; Formulas'!$B$36,POWER(10,(B173-'Parameters &amp; Formulas'!$B$35)/20),POWER(10,(B173-'Parameters &amp; Formulas'!$B$35+20*LOG10('Parameters &amp; Formulas'!$B$34))/40))</f>
        <v/>
      </c>
      <c r="D173" s="11">
        <f>C173/1000</f>
        <v/>
      </c>
      <c r="E173" s="12">
        <f>IF(B173&lt;='Parameters &amp; Formulas'!$B$36,"Pre-breakpoint (20 log)","Post-breakpoint (40 log)")</f>
        <v/>
      </c>
    </row>
    <row r="174">
      <c r="A174" s="10" t="n">
        <v>2.526633165829146</v>
      </c>
      <c r="B174" s="11">
        <f>'Parameters &amp; Formulas'!$B$53-(A174+'Parameters &amp; Formulas'!$B$29+'Parameters &amp; Formulas'!$B$17+'Parameters &amp; Formulas'!$B$18)</f>
        <v/>
      </c>
      <c r="C174" s="10">
        <f>IF(B174&lt;='Parameters &amp; Formulas'!$B$36,POWER(10,(B174-'Parameters &amp; Formulas'!$B$35)/20),POWER(10,(B174-'Parameters &amp; Formulas'!$B$35+20*LOG10('Parameters &amp; Formulas'!$B$34))/40))</f>
        <v/>
      </c>
      <c r="D174" s="11">
        <f>C174/1000</f>
        <v/>
      </c>
      <c r="E174" s="12">
        <f>IF(B174&lt;='Parameters &amp; Formulas'!$B$36,"Pre-breakpoint (20 log)","Post-breakpoint (40 log)")</f>
        <v/>
      </c>
    </row>
    <row r="175">
      <c r="A175" s="10" t="n">
        <v>2.355276381909547</v>
      </c>
      <c r="B175" s="11">
        <f>'Parameters &amp; Formulas'!$B$53-(A175+'Parameters &amp; Formulas'!$B$29+'Parameters &amp; Formulas'!$B$17+'Parameters &amp; Formulas'!$B$18)</f>
        <v/>
      </c>
      <c r="C175" s="10">
        <f>IF(B175&lt;='Parameters &amp; Formulas'!$B$36,POWER(10,(B175-'Parameters &amp; Formulas'!$B$35)/20),POWER(10,(B175-'Parameters &amp; Formulas'!$B$35+20*LOG10('Parameters &amp; Formulas'!$B$34))/40))</f>
        <v/>
      </c>
      <c r="D175" s="11">
        <f>C175/1000</f>
        <v/>
      </c>
      <c r="E175" s="12">
        <f>IF(B175&lt;='Parameters &amp; Formulas'!$B$36,"Pre-breakpoint (20 log)","Post-breakpoint (40 log)")</f>
        <v/>
      </c>
    </row>
    <row r="176">
      <c r="A176" s="10" t="n">
        <v>2.183919597989949</v>
      </c>
      <c r="B176" s="11">
        <f>'Parameters &amp; Formulas'!$B$53-(A176+'Parameters &amp; Formulas'!$B$29+'Parameters &amp; Formulas'!$B$17+'Parameters &amp; Formulas'!$B$18)</f>
        <v/>
      </c>
      <c r="C176" s="10">
        <f>IF(B176&lt;='Parameters &amp; Formulas'!$B$36,POWER(10,(B176-'Parameters &amp; Formulas'!$B$35)/20),POWER(10,(B176-'Parameters &amp; Formulas'!$B$35+20*LOG10('Parameters &amp; Formulas'!$B$34))/40))</f>
        <v/>
      </c>
      <c r="D176" s="11">
        <f>C176/1000</f>
        <v/>
      </c>
      <c r="E176" s="12">
        <f>IF(B176&lt;='Parameters &amp; Formulas'!$B$36,"Pre-breakpoint (20 log)","Post-breakpoint (40 log)")</f>
        <v/>
      </c>
    </row>
    <row r="177">
      <c r="A177" s="10" t="n">
        <v>2.01256281407035</v>
      </c>
      <c r="B177" s="11">
        <f>'Parameters &amp; Formulas'!$B$53-(A177+'Parameters &amp; Formulas'!$B$29+'Parameters &amp; Formulas'!$B$17+'Parameters &amp; Formulas'!$B$18)</f>
        <v/>
      </c>
      <c r="C177" s="10">
        <f>IF(B177&lt;='Parameters &amp; Formulas'!$B$36,POWER(10,(B177-'Parameters &amp; Formulas'!$B$35)/20),POWER(10,(B177-'Parameters &amp; Formulas'!$B$35+20*LOG10('Parameters &amp; Formulas'!$B$34))/40))</f>
        <v/>
      </c>
      <c r="D177" s="11">
        <f>C177/1000</f>
        <v/>
      </c>
      <c r="E177" s="12">
        <f>IF(B177&lt;='Parameters &amp; Formulas'!$B$36,"Pre-breakpoint (20 log)","Post-breakpoint (40 log)")</f>
        <v/>
      </c>
    </row>
    <row r="178">
      <c r="A178" s="10" t="n">
        <v>1.841206030150754</v>
      </c>
      <c r="B178" s="11">
        <f>'Parameters &amp; Formulas'!$B$53-(A178+'Parameters &amp; Formulas'!$B$29+'Parameters &amp; Formulas'!$B$17+'Parameters &amp; Formulas'!$B$18)</f>
        <v/>
      </c>
      <c r="C178" s="10">
        <f>IF(B178&lt;='Parameters &amp; Formulas'!$B$36,POWER(10,(B178-'Parameters &amp; Formulas'!$B$35)/20),POWER(10,(B178-'Parameters &amp; Formulas'!$B$35+20*LOG10('Parameters &amp; Formulas'!$B$34))/40))</f>
        <v/>
      </c>
      <c r="D178" s="11">
        <f>C178/1000</f>
        <v/>
      </c>
      <c r="E178" s="12">
        <f>IF(B178&lt;='Parameters &amp; Formulas'!$B$36,"Pre-breakpoint (20 log)","Post-breakpoint (40 log)")</f>
        <v/>
      </c>
    </row>
    <row r="179">
      <c r="A179" s="10" t="n">
        <v>1.669849246231156</v>
      </c>
      <c r="B179" s="11">
        <f>'Parameters &amp; Formulas'!$B$53-(A179+'Parameters &amp; Formulas'!$B$29+'Parameters &amp; Formulas'!$B$17+'Parameters &amp; Formulas'!$B$18)</f>
        <v/>
      </c>
      <c r="C179" s="10">
        <f>IF(B179&lt;='Parameters &amp; Formulas'!$B$36,POWER(10,(B179-'Parameters &amp; Formulas'!$B$35)/20),POWER(10,(B179-'Parameters &amp; Formulas'!$B$35+20*LOG10('Parameters &amp; Formulas'!$B$34))/40))</f>
        <v/>
      </c>
      <c r="D179" s="11">
        <f>C179/1000</f>
        <v/>
      </c>
      <c r="E179" s="12">
        <f>IF(B179&lt;='Parameters &amp; Formulas'!$B$36,"Pre-breakpoint (20 log)","Post-breakpoint (40 log)")</f>
        <v/>
      </c>
    </row>
    <row r="180">
      <c r="A180" s="10" t="n">
        <v>1.498492462311557</v>
      </c>
      <c r="B180" s="11">
        <f>'Parameters &amp; Formulas'!$B$53-(A180+'Parameters &amp; Formulas'!$B$29+'Parameters &amp; Formulas'!$B$17+'Parameters &amp; Formulas'!$B$18)</f>
        <v/>
      </c>
      <c r="C180" s="10">
        <f>IF(B180&lt;='Parameters &amp; Formulas'!$B$36,POWER(10,(B180-'Parameters &amp; Formulas'!$B$35)/20),POWER(10,(B180-'Parameters &amp; Formulas'!$B$35+20*LOG10('Parameters &amp; Formulas'!$B$34))/40))</f>
        <v/>
      </c>
      <c r="D180" s="11">
        <f>C180/1000</f>
        <v/>
      </c>
      <c r="E180" s="12">
        <f>IF(B180&lt;='Parameters &amp; Formulas'!$B$36,"Pre-breakpoint (20 log)","Post-breakpoint (40 log)")</f>
        <v/>
      </c>
    </row>
    <row r="181">
      <c r="A181" s="10" t="n">
        <v>1.327135678391958</v>
      </c>
      <c r="B181" s="11">
        <f>'Parameters &amp; Formulas'!$B$53-(A181+'Parameters &amp; Formulas'!$B$29+'Parameters &amp; Formulas'!$B$17+'Parameters &amp; Formulas'!$B$18)</f>
        <v/>
      </c>
      <c r="C181" s="10">
        <f>IF(B181&lt;='Parameters &amp; Formulas'!$B$36,POWER(10,(B181-'Parameters &amp; Formulas'!$B$35)/20),POWER(10,(B181-'Parameters &amp; Formulas'!$B$35+20*LOG10('Parameters &amp; Formulas'!$B$34))/40))</f>
        <v/>
      </c>
      <c r="D181" s="11">
        <f>C181/1000</f>
        <v/>
      </c>
      <c r="E181" s="12">
        <f>IF(B181&lt;='Parameters &amp; Formulas'!$B$36,"Pre-breakpoint (20 log)","Post-breakpoint (40 log)")</f>
        <v/>
      </c>
    </row>
    <row r="182">
      <c r="A182" s="10" t="n">
        <v>1.155778894472363</v>
      </c>
      <c r="B182" s="11">
        <f>'Parameters &amp; Formulas'!$B$53-(A182+'Parameters &amp; Formulas'!$B$29+'Parameters &amp; Formulas'!$B$17+'Parameters &amp; Formulas'!$B$18)</f>
        <v/>
      </c>
      <c r="C182" s="10">
        <f>IF(B182&lt;='Parameters &amp; Formulas'!$B$36,POWER(10,(B182-'Parameters &amp; Formulas'!$B$35)/20),POWER(10,(B182-'Parameters &amp; Formulas'!$B$35+20*LOG10('Parameters &amp; Formulas'!$B$34))/40))</f>
        <v/>
      </c>
      <c r="D182" s="11">
        <f>C182/1000</f>
        <v/>
      </c>
      <c r="E182" s="12">
        <f>IF(B182&lt;='Parameters &amp; Formulas'!$B$36,"Pre-breakpoint (20 log)","Post-breakpoint (40 log)")</f>
        <v/>
      </c>
    </row>
    <row r="183">
      <c r="A183" s="10" t="n">
        <v>0.9844221105527637</v>
      </c>
      <c r="B183" s="11">
        <f>'Parameters &amp; Formulas'!$B$53-(A183+'Parameters &amp; Formulas'!$B$29+'Parameters &amp; Formulas'!$B$17+'Parameters &amp; Formulas'!$B$18)</f>
        <v/>
      </c>
      <c r="C183" s="10">
        <f>IF(B183&lt;='Parameters &amp; Formulas'!$B$36,POWER(10,(B183-'Parameters &amp; Formulas'!$B$35)/20),POWER(10,(B183-'Parameters &amp; Formulas'!$B$35+20*LOG10('Parameters &amp; Formulas'!$B$34))/40))</f>
        <v/>
      </c>
      <c r="D183" s="11">
        <f>C183/1000</f>
        <v/>
      </c>
      <c r="E183" s="12">
        <f>IF(B183&lt;='Parameters &amp; Formulas'!$B$36,"Pre-breakpoint (20 log)","Post-breakpoint (40 log)")</f>
        <v/>
      </c>
    </row>
    <row r="184">
      <c r="A184" s="10" t="n">
        <v>0.8130653266331649</v>
      </c>
      <c r="B184" s="11">
        <f>'Parameters &amp; Formulas'!$B$53-(A184+'Parameters &amp; Formulas'!$B$29+'Parameters &amp; Formulas'!$B$17+'Parameters &amp; Formulas'!$B$18)</f>
        <v/>
      </c>
      <c r="C184" s="10">
        <f>IF(B184&lt;='Parameters &amp; Formulas'!$B$36,POWER(10,(B184-'Parameters &amp; Formulas'!$B$35)/20),POWER(10,(B184-'Parameters &amp; Formulas'!$B$35+20*LOG10('Parameters &amp; Formulas'!$B$34))/40))</f>
        <v/>
      </c>
      <c r="D184" s="11">
        <f>C184/1000</f>
        <v/>
      </c>
      <c r="E184" s="12">
        <f>IF(B184&lt;='Parameters &amp; Formulas'!$B$36,"Pre-breakpoint (20 log)","Post-breakpoint (40 log)")</f>
        <v/>
      </c>
    </row>
    <row r="185">
      <c r="A185" s="10" t="n">
        <v>0.641708542713566</v>
      </c>
      <c r="B185" s="11">
        <f>'Parameters &amp; Formulas'!$B$53-(A185+'Parameters &amp; Formulas'!$B$29+'Parameters &amp; Formulas'!$B$17+'Parameters &amp; Formulas'!$B$18)</f>
        <v/>
      </c>
      <c r="C185" s="10">
        <f>IF(B185&lt;='Parameters &amp; Formulas'!$B$36,POWER(10,(B185-'Parameters &amp; Formulas'!$B$35)/20),POWER(10,(B185-'Parameters &amp; Formulas'!$B$35+20*LOG10('Parameters &amp; Formulas'!$B$34))/40))</f>
        <v/>
      </c>
      <c r="D185" s="11">
        <f>C185/1000</f>
        <v/>
      </c>
      <c r="E185" s="12">
        <f>IF(B185&lt;='Parameters &amp; Formulas'!$B$36,"Pre-breakpoint (20 log)","Post-breakpoint (40 log)")</f>
        <v/>
      </c>
    </row>
    <row r="186">
      <c r="A186" s="10" t="n">
        <v>0.4703517587939707</v>
      </c>
      <c r="B186" s="11">
        <f>'Parameters &amp; Formulas'!$B$53-(A186+'Parameters &amp; Formulas'!$B$29+'Parameters &amp; Formulas'!$B$17+'Parameters &amp; Formulas'!$B$18)</f>
        <v/>
      </c>
      <c r="C186" s="10">
        <f>IF(B186&lt;='Parameters &amp; Formulas'!$B$36,POWER(10,(B186-'Parameters &amp; Formulas'!$B$35)/20),POWER(10,(B186-'Parameters &amp; Formulas'!$B$35+20*LOG10('Parameters &amp; Formulas'!$B$34))/40))</f>
        <v/>
      </c>
      <c r="D186" s="11">
        <f>C186/1000</f>
        <v/>
      </c>
      <c r="E186" s="12">
        <f>IF(B186&lt;='Parameters &amp; Formulas'!$B$36,"Pre-breakpoint (20 log)","Post-breakpoint (40 log)")</f>
        <v/>
      </c>
    </row>
    <row r="187">
      <c r="A187" s="10" t="n">
        <v>0.2989949748743719</v>
      </c>
      <c r="B187" s="11">
        <f>'Parameters &amp; Formulas'!$B$53-(A187+'Parameters &amp; Formulas'!$B$29+'Parameters &amp; Formulas'!$B$17+'Parameters &amp; Formulas'!$B$18)</f>
        <v/>
      </c>
      <c r="C187" s="10">
        <f>IF(B187&lt;='Parameters &amp; Formulas'!$B$36,POWER(10,(B187-'Parameters &amp; Formulas'!$B$35)/20),POWER(10,(B187-'Parameters &amp; Formulas'!$B$35+20*LOG10('Parameters &amp; Formulas'!$B$34))/40))</f>
        <v/>
      </c>
      <c r="D187" s="11">
        <f>C187/1000</f>
        <v/>
      </c>
      <c r="E187" s="12">
        <f>IF(B187&lt;='Parameters &amp; Formulas'!$B$36,"Pre-breakpoint (20 log)","Post-breakpoint (40 log)")</f>
        <v/>
      </c>
    </row>
    <row r="188">
      <c r="A188" s="10" t="n">
        <v>0.127638190954773</v>
      </c>
      <c r="B188" s="11">
        <f>'Parameters &amp; Formulas'!$B$53-(A188+'Parameters &amp; Formulas'!$B$29+'Parameters &amp; Formulas'!$B$17+'Parameters &amp; Formulas'!$B$18)</f>
        <v/>
      </c>
      <c r="C188" s="10">
        <f>IF(B188&lt;='Parameters &amp; Formulas'!$B$36,POWER(10,(B188-'Parameters &amp; Formulas'!$B$35)/20),POWER(10,(B188-'Parameters &amp; Formulas'!$B$35+20*LOG10('Parameters &amp; Formulas'!$B$34))/40))</f>
        <v/>
      </c>
      <c r="D188" s="11">
        <f>C188/1000</f>
        <v/>
      </c>
      <c r="E188" s="12">
        <f>IF(B188&lt;='Parameters &amp; Formulas'!$B$36,"Pre-breakpoint (20 log)","Post-breakpoint (40 log)")</f>
        <v/>
      </c>
    </row>
    <row r="189">
      <c r="A189" s="10" t="n">
        <v>-0.04371859296482228</v>
      </c>
      <c r="B189" s="11">
        <f>'Parameters &amp; Formulas'!$B$53-(A189+'Parameters &amp; Formulas'!$B$29+'Parameters &amp; Formulas'!$B$17+'Parameters &amp; Formulas'!$B$18)</f>
        <v/>
      </c>
      <c r="C189" s="10">
        <f>IF(B189&lt;='Parameters &amp; Formulas'!$B$36,POWER(10,(B189-'Parameters &amp; Formulas'!$B$35)/20),POWER(10,(B189-'Parameters &amp; Formulas'!$B$35+20*LOG10('Parameters &amp; Formulas'!$B$34))/40))</f>
        <v/>
      </c>
      <c r="D189" s="11">
        <f>C189/1000</f>
        <v/>
      </c>
      <c r="E189" s="12">
        <f>IF(B189&lt;='Parameters &amp; Formulas'!$B$36,"Pre-breakpoint (20 log)","Post-breakpoint (40 log)")</f>
        <v/>
      </c>
    </row>
    <row r="190">
      <c r="A190" s="10" t="n">
        <v>-0.2150753768844211</v>
      </c>
      <c r="B190" s="11">
        <f>'Parameters &amp; Formulas'!$B$53-(A190+'Parameters &amp; Formulas'!$B$29+'Parameters &amp; Formulas'!$B$17+'Parameters &amp; Formulas'!$B$18)</f>
        <v/>
      </c>
      <c r="C190" s="10">
        <f>IF(B190&lt;='Parameters &amp; Formulas'!$B$36,POWER(10,(B190-'Parameters &amp; Formulas'!$B$35)/20),POWER(10,(B190-'Parameters &amp; Formulas'!$B$35+20*LOG10('Parameters &amp; Formulas'!$B$34))/40))</f>
        <v/>
      </c>
      <c r="D190" s="11">
        <f>C190/1000</f>
        <v/>
      </c>
      <c r="E190" s="12">
        <f>IF(B190&lt;='Parameters &amp; Formulas'!$B$36,"Pre-breakpoint (20 log)","Post-breakpoint (40 log)")</f>
        <v/>
      </c>
    </row>
    <row r="191">
      <c r="A191" s="10" t="n">
        <v>-0.38643216080402</v>
      </c>
      <c r="B191" s="11">
        <f>'Parameters &amp; Formulas'!$B$53-(A191+'Parameters &amp; Formulas'!$B$29+'Parameters &amp; Formulas'!$B$17+'Parameters &amp; Formulas'!$B$18)</f>
        <v/>
      </c>
      <c r="C191" s="10">
        <f>IF(B191&lt;='Parameters &amp; Formulas'!$B$36,POWER(10,(B191-'Parameters &amp; Formulas'!$B$35)/20),POWER(10,(B191-'Parameters &amp; Formulas'!$B$35+20*LOG10('Parameters &amp; Formulas'!$B$34))/40))</f>
        <v/>
      </c>
      <c r="D191" s="11">
        <f>C191/1000</f>
        <v/>
      </c>
      <c r="E191" s="12">
        <f>IF(B191&lt;='Parameters &amp; Formulas'!$B$36,"Pre-breakpoint (20 log)","Post-breakpoint (40 log)")</f>
        <v/>
      </c>
    </row>
    <row r="192">
      <c r="A192" s="10" t="n">
        <v>-0.5577889447236188</v>
      </c>
      <c r="B192" s="11">
        <f>'Parameters &amp; Formulas'!$B$53-(A192+'Parameters &amp; Formulas'!$B$29+'Parameters &amp; Formulas'!$B$17+'Parameters &amp; Formulas'!$B$18)</f>
        <v/>
      </c>
      <c r="C192" s="10">
        <f>IF(B192&lt;='Parameters &amp; Formulas'!$B$36,POWER(10,(B192-'Parameters &amp; Formulas'!$B$35)/20),POWER(10,(B192-'Parameters &amp; Formulas'!$B$35+20*LOG10('Parameters &amp; Formulas'!$B$34))/40))</f>
        <v/>
      </c>
      <c r="D192" s="11">
        <f>C192/1000</f>
        <v/>
      </c>
      <c r="E192" s="12">
        <f>IF(B192&lt;='Parameters &amp; Formulas'!$B$36,"Pre-breakpoint (20 log)","Post-breakpoint (40 log)")</f>
        <v/>
      </c>
    </row>
    <row r="193">
      <c r="A193" s="10" t="n">
        <v>-0.7291457286432177</v>
      </c>
      <c r="B193" s="11">
        <f>'Parameters &amp; Formulas'!$B$53-(A193+'Parameters &amp; Formulas'!$B$29+'Parameters &amp; Formulas'!$B$17+'Parameters &amp; Formulas'!$B$18)</f>
        <v/>
      </c>
      <c r="C193" s="10">
        <f>IF(B193&lt;='Parameters &amp; Formulas'!$B$36,POWER(10,(B193-'Parameters &amp; Formulas'!$B$35)/20),POWER(10,(B193-'Parameters &amp; Formulas'!$B$35+20*LOG10('Parameters &amp; Formulas'!$B$34))/40))</f>
        <v/>
      </c>
      <c r="D193" s="11">
        <f>C193/1000</f>
        <v/>
      </c>
      <c r="E193" s="12">
        <f>IF(B193&lt;='Parameters &amp; Formulas'!$B$36,"Pre-breakpoint (20 log)","Post-breakpoint (40 log)")</f>
        <v/>
      </c>
    </row>
    <row r="194">
      <c r="A194" s="10" t="n">
        <v>-0.9005025125628165</v>
      </c>
      <c r="B194" s="11">
        <f>'Parameters &amp; Formulas'!$B$53-(A194+'Parameters &amp; Formulas'!$B$29+'Parameters &amp; Formulas'!$B$17+'Parameters &amp; Formulas'!$B$18)</f>
        <v/>
      </c>
      <c r="C194" s="10">
        <f>IF(B194&lt;='Parameters &amp; Formulas'!$B$36,POWER(10,(B194-'Parameters &amp; Formulas'!$B$35)/20),POWER(10,(B194-'Parameters &amp; Formulas'!$B$35+20*LOG10('Parameters &amp; Formulas'!$B$34))/40))</f>
        <v/>
      </c>
      <c r="D194" s="11">
        <f>C194/1000</f>
        <v/>
      </c>
      <c r="E194" s="12">
        <f>IF(B194&lt;='Parameters &amp; Formulas'!$B$36,"Pre-breakpoint (20 log)","Post-breakpoint (40 log)")</f>
        <v/>
      </c>
    </row>
    <row r="195">
      <c r="A195" s="10" t="n">
        <v>-1.071859296482415</v>
      </c>
      <c r="B195" s="11">
        <f>'Parameters &amp; Formulas'!$B$53-(A195+'Parameters &amp; Formulas'!$B$29+'Parameters &amp; Formulas'!$B$17+'Parameters &amp; Formulas'!$B$18)</f>
        <v/>
      </c>
      <c r="C195" s="10">
        <f>IF(B195&lt;='Parameters &amp; Formulas'!$B$36,POWER(10,(B195-'Parameters &amp; Formulas'!$B$35)/20),POWER(10,(B195-'Parameters &amp; Formulas'!$B$35+20*LOG10('Parameters &amp; Formulas'!$B$34))/40))</f>
        <v/>
      </c>
      <c r="D195" s="11">
        <f>C195/1000</f>
        <v/>
      </c>
      <c r="E195" s="12">
        <f>IF(B195&lt;='Parameters &amp; Formulas'!$B$36,"Pre-breakpoint (20 log)","Post-breakpoint (40 log)")</f>
        <v/>
      </c>
    </row>
    <row r="196">
      <c r="A196" s="10" t="n">
        <v>-1.243216080402014</v>
      </c>
      <c r="B196" s="11">
        <f>'Parameters &amp; Formulas'!$B$53-(A196+'Parameters &amp; Formulas'!$B$29+'Parameters &amp; Formulas'!$B$17+'Parameters &amp; Formulas'!$B$18)</f>
        <v/>
      </c>
      <c r="C196" s="10">
        <f>IF(B196&lt;='Parameters &amp; Formulas'!$B$36,POWER(10,(B196-'Parameters &amp; Formulas'!$B$35)/20),POWER(10,(B196-'Parameters &amp; Formulas'!$B$35+20*LOG10('Parameters &amp; Formulas'!$B$34))/40))</f>
        <v/>
      </c>
      <c r="D196" s="11">
        <f>C196/1000</f>
        <v/>
      </c>
      <c r="E196" s="12">
        <f>IF(B196&lt;='Parameters &amp; Formulas'!$B$36,"Pre-breakpoint (20 log)","Post-breakpoint (40 log)")</f>
        <v/>
      </c>
    </row>
    <row r="197">
      <c r="A197" s="10" t="n">
        <v>-1.414572864321606</v>
      </c>
      <c r="B197" s="11">
        <f>'Parameters &amp; Formulas'!$B$53-(A197+'Parameters &amp; Formulas'!$B$29+'Parameters &amp; Formulas'!$B$17+'Parameters &amp; Formulas'!$B$18)</f>
        <v/>
      </c>
      <c r="C197" s="10">
        <f>IF(B197&lt;='Parameters &amp; Formulas'!$B$36,POWER(10,(B197-'Parameters &amp; Formulas'!$B$35)/20),POWER(10,(B197-'Parameters &amp; Formulas'!$B$35+20*LOG10('Parameters &amp; Formulas'!$B$34))/40))</f>
        <v/>
      </c>
      <c r="D197" s="11">
        <f>C197/1000</f>
        <v/>
      </c>
      <c r="E197" s="12">
        <f>IF(B197&lt;='Parameters &amp; Formulas'!$B$36,"Pre-breakpoint (20 log)","Post-breakpoint (40 log)")</f>
        <v/>
      </c>
    </row>
    <row r="198">
      <c r="A198" s="10" t="n">
        <v>-1.585929648241205</v>
      </c>
      <c r="B198" s="11">
        <f>'Parameters &amp; Formulas'!$B$53-(A198+'Parameters &amp; Formulas'!$B$29+'Parameters &amp; Formulas'!$B$17+'Parameters &amp; Formulas'!$B$18)</f>
        <v/>
      </c>
      <c r="C198" s="10">
        <f>IF(B198&lt;='Parameters &amp; Formulas'!$B$36,POWER(10,(B198-'Parameters &amp; Formulas'!$B$35)/20),POWER(10,(B198-'Parameters &amp; Formulas'!$B$35+20*LOG10('Parameters &amp; Formulas'!$B$34))/40))</f>
        <v/>
      </c>
      <c r="D198" s="11">
        <f>C198/1000</f>
        <v/>
      </c>
      <c r="E198" s="12">
        <f>IF(B198&lt;='Parameters &amp; Formulas'!$B$36,"Pre-breakpoint (20 log)","Post-breakpoint (40 log)")</f>
        <v/>
      </c>
    </row>
    <row r="199">
      <c r="A199" s="10" t="n">
        <v>-1.757286432160804</v>
      </c>
      <c r="B199" s="11">
        <f>'Parameters &amp; Formulas'!$B$53-(A199+'Parameters &amp; Formulas'!$B$29+'Parameters &amp; Formulas'!$B$17+'Parameters &amp; Formulas'!$B$18)</f>
        <v/>
      </c>
      <c r="C199" s="10">
        <f>IF(B199&lt;='Parameters &amp; Formulas'!$B$36,POWER(10,(B199-'Parameters &amp; Formulas'!$B$35)/20),POWER(10,(B199-'Parameters &amp; Formulas'!$B$35+20*LOG10('Parameters &amp; Formulas'!$B$34))/40))</f>
        <v/>
      </c>
      <c r="D199" s="11">
        <f>C199/1000</f>
        <v/>
      </c>
      <c r="E199" s="12">
        <f>IF(B199&lt;='Parameters &amp; Formulas'!$B$36,"Pre-breakpoint (20 log)","Post-breakpoint (40 log)")</f>
        <v/>
      </c>
    </row>
    <row r="200">
      <c r="A200" s="10" t="n">
        <v>-1.928643216080403</v>
      </c>
      <c r="B200" s="11">
        <f>'Parameters &amp; Formulas'!$B$53-(A200+'Parameters &amp; Formulas'!$B$29+'Parameters &amp; Formulas'!$B$17+'Parameters &amp; Formulas'!$B$18)</f>
        <v/>
      </c>
      <c r="C200" s="10">
        <f>IF(B200&lt;='Parameters &amp; Formulas'!$B$36,POWER(10,(B200-'Parameters &amp; Formulas'!$B$35)/20),POWER(10,(B200-'Parameters &amp; Formulas'!$B$35+20*LOG10('Parameters &amp; Formulas'!$B$34))/40))</f>
        <v/>
      </c>
      <c r="D200" s="11">
        <f>C200/1000</f>
        <v/>
      </c>
      <c r="E200" s="12">
        <f>IF(B200&lt;='Parameters &amp; Formulas'!$B$36,"Pre-breakpoint (20 log)","Post-breakpoint (40 log)")</f>
        <v/>
      </c>
    </row>
    <row r="201">
      <c r="A201" s="10" t="n">
        <v>-2.1</v>
      </c>
      <c r="B201" s="11">
        <f>'Parameters &amp; Formulas'!$B$53-(A201+'Parameters &amp; Formulas'!$B$29+'Parameters &amp; Formulas'!$B$17+'Parameters &amp; Formulas'!$B$18)</f>
        <v/>
      </c>
      <c r="C201" s="10">
        <f>IF(B201&lt;='Parameters &amp; Formulas'!$B$36,POWER(10,(B201-'Parameters &amp; Formulas'!$B$35)/20),POWER(10,(B201-'Parameters &amp; Formulas'!$B$35+20*LOG10('Parameters &amp; Formulas'!$B$34))/40))</f>
        <v/>
      </c>
      <c r="D201" s="11">
        <f>C201/1000</f>
        <v/>
      </c>
      <c r="E201" s="12">
        <f>IF(B201&lt;='Parameters &amp; Formulas'!$B$36,"Pre-breakpoint (20 log)","Post-breakpoint (40 log)")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9" t="inlineStr">
        <is>
          <t>MCS</t>
        </is>
      </c>
      <c r="B1" s="9" t="inlineStr">
        <is>
          <t>SNR (dB)</t>
        </is>
      </c>
      <c r="C1" s="9" t="inlineStr">
        <is>
          <t>DL L_max (dB)</t>
        </is>
      </c>
      <c r="D1" s="9" t="inlineStr">
        <is>
          <t>DL Radius (m)</t>
        </is>
      </c>
      <c r="E1" s="9" t="inlineStr">
        <is>
          <t>DL Radius (km)</t>
        </is>
      </c>
    </row>
    <row r="2">
      <c r="A2" s="13" t="inlineStr">
        <is>
          <t>256-QAM</t>
        </is>
      </c>
      <c r="B2" s="14">
        <f>'Parameters &amp; Formulas'!$B$56</f>
        <v/>
      </c>
      <c r="C2" s="11">
        <f>'Parameters &amp; Formulas'!$B$32-(B2+'Parameters &amp; Formulas'!$B$29+'Parameters &amp; Formulas'!$B$17+'Parameters &amp; Formulas'!$B$18)</f>
        <v/>
      </c>
      <c r="D2" s="10">
        <f>IF(C2&lt;='Parameters &amp; Formulas'!$B$36,POWER(10,(C2-'Parameters &amp; Formulas'!$B$35)/20),POWER(10,(C2-'Parameters &amp; Formulas'!$B$35+20*LOG10('Parameters &amp; Formulas'!$B$34))/40))</f>
        <v/>
      </c>
      <c r="E2" s="11">
        <f>D2/1000</f>
        <v/>
      </c>
    </row>
    <row r="3">
      <c r="A3" s="13" t="inlineStr">
        <is>
          <t>64-QAM</t>
        </is>
      </c>
      <c r="B3" s="14">
        <f>'Parameters &amp; Formulas'!$B$57</f>
        <v/>
      </c>
      <c r="C3" s="11">
        <f>'Parameters &amp; Formulas'!$B$32-(B3+'Parameters &amp; Formulas'!$B$29+'Parameters &amp; Formulas'!$B$17+'Parameters &amp; Formulas'!$B$18)</f>
        <v/>
      </c>
      <c r="D3" s="10">
        <f>IF(C3&lt;='Parameters &amp; Formulas'!$B$36,POWER(10,(C3-'Parameters &amp; Formulas'!$B$35)/20),POWER(10,(C3-'Parameters &amp; Formulas'!$B$35+20*LOG10('Parameters &amp; Formulas'!$B$34))/40))</f>
        <v/>
      </c>
      <c r="E3" s="11">
        <f>D3/1000</f>
        <v/>
      </c>
    </row>
    <row r="4">
      <c r="A4" s="13" t="inlineStr">
        <is>
          <t>16-QAM</t>
        </is>
      </c>
      <c r="B4" s="14">
        <f>'Parameters &amp; Formulas'!$B$58</f>
        <v/>
      </c>
      <c r="C4" s="11">
        <f>'Parameters &amp; Formulas'!$B$32-(B4+'Parameters &amp; Formulas'!$B$29+'Parameters &amp; Formulas'!$B$17+'Parameters &amp; Formulas'!$B$18)</f>
        <v/>
      </c>
      <c r="D4" s="10">
        <f>IF(C4&lt;='Parameters &amp; Formulas'!$B$36,POWER(10,(C4-'Parameters &amp; Formulas'!$B$35)/20),POWER(10,(C4-'Parameters &amp; Formulas'!$B$35+20*LOG10('Parameters &amp; Formulas'!$B$34))/40))</f>
        <v/>
      </c>
      <c r="E4" s="11">
        <f>D4/1000</f>
        <v/>
      </c>
    </row>
    <row r="5">
      <c r="A5" s="13" t="inlineStr">
        <is>
          <t>QPSK</t>
        </is>
      </c>
      <c r="B5" s="14">
        <f>'Parameters &amp; Formulas'!$B$59</f>
        <v/>
      </c>
      <c r="C5" s="11">
        <f>'Parameters &amp; Formulas'!$B$32-(B5+'Parameters &amp; Formulas'!$B$29+'Parameters &amp; Formulas'!$B$17+'Parameters &amp; Formulas'!$B$18)</f>
        <v/>
      </c>
      <c r="D5" s="10">
        <f>IF(C5&lt;='Parameters &amp; Formulas'!$B$36,POWER(10,(C5-'Parameters &amp; Formulas'!$B$35)/20),POWER(10,(C5-'Parameters &amp; Formulas'!$B$35+20*LOG10('Parameters &amp; Formulas'!$B$34))/40))</f>
        <v/>
      </c>
      <c r="E5" s="11">
        <f>D5/1000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8" customWidth="1" min="4" max="4"/>
    <col width="18" customWidth="1" min="5" max="5"/>
  </cols>
  <sheetData>
    <row r="1">
      <c r="A1" s="9" t="inlineStr">
        <is>
          <t>MCS</t>
        </is>
      </c>
      <c r="B1" s="9" t="inlineStr">
        <is>
          <t>SNR (dB)</t>
        </is>
      </c>
      <c r="C1" s="9" t="inlineStr">
        <is>
          <t>UL L_max (dB)</t>
        </is>
      </c>
      <c r="D1" s="9" t="inlineStr">
        <is>
          <t>UL Radius (m)</t>
        </is>
      </c>
      <c r="E1" s="9" t="inlineStr">
        <is>
          <t>UL Radius (km)</t>
        </is>
      </c>
    </row>
    <row r="2">
      <c r="A2" s="13" t="inlineStr">
        <is>
          <t>256-QAM</t>
        </is>
      </c>
      <c r="B2" s="14">
        <f>'Parameters &amp; Formulas'!$B$56</f>
        <v/>
      </c>
      <c r="C2" s="11">
        <f>'Parameters &amp; Formulas'!$B$53-(B2+'Parameters &amp; Formulas'!$B$29+'Parameters &amp; Formulas'!$B$17+'Parameters &amp; Formulas'!$B$18)</f>
        <v/>
      </c>
      <c r="D2" s="10">
        <f>IF(C2&lt;='Parameters &amp; Formulas'!$B$36,POWER(10,(C2-'Parameters &amp; Formulas'!$B$35)/20),POWER(10,(C2-'Parameters &amp; Formulas'!$B$35+20*LOG10('Parameters &amp; Formulas'!$B$34))/40))</f>
        <v/>
      </c>
      <c r="E2" s="11">
        <f>D2/1000</f>
        <v/>
      </c>
    </row>
    <row r="3">
      <c r="A3" s="13" t="inlineStr">
        <is>
          <t>64-QAM</t>
        </is>
      </c>
      <c r="B3" s="14">
        <f>'Parameters &amp; Formulas'!$B$57</f>
        <v/>
      </c>
      <c r="C3" s="11">
        <f>'Parameters &amp; Formulas'!$B$53-(B3+'Parameters &amp; Formulas'!$B$29+'Parameters &amp; Formulas'!$B$17+'Parameters &amp; Formulas'!$B$18)</f>
        <v/>
      </c>
      <c r="D3" s="10">
        <f>IF(C3&lt;='Parameters &amp; Formulas'!$B$36,POWER(10,(C3-'Parameters &amp; Formulas'!$B$35)/20),POWER(10,(C3-'Parameters &amp; Formulas'!$B$35+20*LOG10('Parameters &amp; Formulas'!$B$34))/40))</f>
        <v/>
      </c>
      <c r="E3" s="11">
        <f>D3/1000</f>
        <v/>
      </c>
    </row>
    <row r="4">
      <c r="A4" s="13" t="inlineStr">
        <is>
          <t>16-QAM</t>
        </is>
      </c>
      <c r="B4" s="14">
        <f>'Parameters &amp; Formulas'!$B$58</f>
        <v/>
      </c>
      <c r="C4" s="11">
        <f>'Parameters &amp; Formulas'!$B$53-(B4+'Parameters &amp; Formulas'!$B$29+'Parameters &amp; Formulas'!$B$17+'Parameters &amp; Formulas'!$B$18)</f>
        <v/>
      </c>
      <c r="D4" s="10">
        <f>IF(C4&lt;='Parameters &amp; Formulas'!$B$36,POWER(10,(C4-'Parameters &amp; Formulas'!$B$35)/20),POWER(10,(C4-'Parameters &amp; Formulas'!$B$35+20*LOG10('Parameters &amp; Formulas'!$B$34))/40))</f>
        <v/>
      </c>
      <c r="E4" s="11">
        <f>D4/1000</f>
        <v/>
      </c>
    </row>
    <row r="5">
      <c r="A5" s="13" t="inlineStr">
        <is>
          <t>QPSK</t>
        </is>
      </c>
      <c r="B5" s="14">
        <f>'Parameters &amp; Formulas'!$B$59</f>
        <v/>
      </c>
      <c r="C5" s="11">
        <f>'Parameters &amp; Formulas'!$B$53-(B5+'Parameters &amp; Formulas'!$B$29+'Parameters &amp; Formulas'!$B$17+'Parameters &amp; Formulas'!$B$18)</f>
        <v/>
      </c>
      <c r="D5" s="10">
        <f>IF(C5&lt;='Parameters &amp; Formulas'!$B$36,POWER(10,(C5-'Parameters &amp; Formulas'!$B$35)/20),POWER(10,(C5-'Parameters &amp; Formulas'!$B$35+20*LOG10('Parameters &amp; Formulas'!$B$34))/40))</f>
        <v/>
      </c>
      <c r="E5" s="11">
        <f>D5/1000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2025-12-17T16:13:36Z</dcterms:created>
  <dcterms:modified xmlns:dcterms="http://purl.org/dc/terms/" xmlns:xsi="http://www.w3.org/2001/XMLSchema-instance" xsi:type="dcterms:W3CDTF">2025-12-17T16:13:36Z</dcterms:modified>
</cp:coreProperties>
</file>